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Agregator\BAC\BAC HOLD\"/>
    </mc:Choice>
  </mc:AlternateContent>
  <xr:revisionPtr revIDLastSave="0" documentId="13_ncr:1_{980A35FB-A3EB-4E06-8A38-EF8EFB02AE78}" xr6:coauthVersionLast="47" xr6:coauthVersionMax="47" xr10:uidLastSave="{00000000-0000-0000-0000-000000000000}"/>
  <bookViews>
    <workbookView xWindow="-120" yWindow="-120" windowWidth="20730" windowHeight="11160" xr2:uid="{64393208-9CA6-4B6E-B67C-15C2D9064952}"/>
  </bookViews>
  <sheets>
    <sheet name="Revenue_Summary" sheetId="3" r:id="rId1"/>
    <sheet name="Partner_Revenue_Details" sheetId="1" r:id="rId2"/>
    <sheet name="Revenue_Pivot" sheetId="5" r:id="rId3"/>
  </sheets>
  <calcPr calcId="181029"/>
  <pivotCaches>
    <pivotCache cacheId="10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<sst xmlns="http://schemas.openxmlformats.org/spreadsheetml/2006/main" count="517" uniqueCount="67">
  <si>
    <t>Group Management</t>
  </si>
  <si>
    <t>Asset Type</t>
  </si>
  <si>
    <t>Sales Period</t>
  </si>
  <si>
    <t>Reporting Period</t>
  </si>
  <si>
    <t>Track Title</t>
  </si>
  <si>
    <t>ISRC</t>
  </si>
  <si>
    <t>Track Artists</t>
  </si>
  <si>
    <t>UPC Code</t>
  </si>
  <si>
    <t>Album Title</t>
  </si>
  <si>
    <t>Sales Type</t>
  </si>
  <si>
    <t>Final Royalty</t>
  </si>
  <si>
    <t>Yukkolab</t>
  </si>
  <si>
    <t>Agency</t>
  </si>
  <si>
    <t>Collaborator</t>
  </si>
  <si>
    <t>Grand Total</t>
  </si>
  <si>
    <t>Sum of Final Royalty</t>
  </si>
  <si>
    <t>Sum of Yukkolab</t>
  </si>
  <si>
    <t>Sum of Agency</t>
  </si>
  <si>
    <r>
      <t xml:space="preserve">PT. </t>
    </r>
    <r>
      <rPr>
        <b/>
        <sz val="22"/>
        <color rgb="FF080800"/>
        <rFont val="Times New Roman"/>
        <family val="1"/>
      </rPr>
      <t xml:space="preserve">YUK </t>
    </r>
    <r>
      <rPr>
        <b/>
        <sz val="22"/>
        <color rgb="FF050500"/>
        <rFont val="Times New Roman"/>
        <family val="1"/>
      </rPr>
      <t xml:space="preserve">KOLABORASI </t>
    </r>
    <r>
      <rPr>
        <b/>
        <sz val="22"/>
        <color rgb="FF121200"/>
        <rFont val="Times New Roman"/>
        <family val="1"/>
      </rPr>
      <t>INDONESIA</t>
    </r>
  </si>
  <si>
    <t>JI. Angsana Raya No.10E, RT.10 RW.04 Pejaten Timur Pasar Minggu, Jakarta Selatan, 12510- Indonesia </t>
  </si>
  <si>
    <t>Email: yukkolabofficial@gmail.com Telp: +62 812-1000-4457</t>
  </si>
  <si>
    <t>https://yukkolab.com/</t>
  </si>
  <si>
    <t>Periode</t>
  </si>
  <si>
    <t>Revenue Breakdown</t>
  </si>
  <si>
    <t>Description</t>
  </si>
  <si>
    <t>Amount (IDR)</t>
  </si>
  <si>
    <t>Details Revenue</t>
  </si>
  <si>
    <t>Cover to Master</t>
  </si>
  <si>
    <t>Original Song</t>
  </si>
  <si>
    <t>Licensed</t>
  </si>
  <si>
    <t>Collaborator Fee</t>
  </si>
  <si>
    <t>Payment Breakdown</t>
  </si>
  <si>
    <t>Agency Fee</t>
  </si>
  <si>
    <t>Partner Payment</t>
  </si>
  <si>
    <t>Approved By,</t>
  </si>
  <si>
    <t xml:space="preserve">Payment Transfer to </t>
  </si>
  <si>
    <t>Bank Name</t>
  </si>
  <si>
    <t>Beneficiary Name</t>
  </si>
  <si>
    <t>Account Number</t>
  </si>
  <si>
    <t>Dhika Mauliddin Yusuf</t>
  </si>
  <si>
    <t>Director of Yuk Kolaborasi Indonesia</t>
  </si>
  <si>
    <t xml:space="preserve"> Summary Revenue - SoundOn</t>
  </si>
  <si>
    <t xml:space="preserve">: </t>
  </si>
  <si>
    <t>Store Name</t>
  </si>
  <si>
    <t>Sales Sub Type</t>
  </si>
  <si>
    <t>Release Date</t>
  </si>
  <si>
    <t>Units of Sold</t>
  </si>
  <si>
    <t>CO</t>
  </si>
  <si>
    <t>Sum of CO</t>
  </si>
  <si>
    <t>Cover Asset</t>
  </si>
  <si>
    <t>2026-03-01~2026-03-31</t>
  </si>
  <si>
    <t>TikTok</t>
  </si>
  <si>
    <t>CREATION</t>
  </si>
  <si>
    <t>PGC</t>
  </si>
  <si>
    <t>Dynotic Rework</t>
  </si>
  <si>
    <t>M AZRIL ILHAM</t>
  </si>
  <si>
    <t>2026-04</t>
  </si>
  <si>
    <t>2026-04-01~2026-04-30</t>
  </si>
  <si>
    <t>Menungso Oratoto</t>
  </si>
  <si>
    <t>IDR012614221</t>
  </si>
  <si>
    <t>Drylz</t>
  </si>
  <si>
    <t>Tresno Liyane</t>
  </si>
  <si>
    <t>IDR012614189</t>
  </si>
  <si>
    <t>UGC</t>
  </si>
  <si>
    <t>VIDEO_VIEW</t>
  </si>
  <si>
    <t>Collabolator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</si>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</sst>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[$Rp-3809]* #,##0.00_-;\-[$Rp-3809]* #,##0.00_-;_-[$Rp-3809]* &quot;-&quot;??_-;_-@_-"/>
    <numFmt numFmtId="165" formatCode="_-&quot;Rp&quot;* #,##0.00_-;\-&quot;Rp&quot;* #,##0.00_-;_-&quot;Rp&quot;* &quot;-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rgb="FF030300"/>
      <name val="Times New Roman"/>
      <family val="1"/>
    </font>
    <font>
      <b/>
      <sz val="22"/>
      <color rgb="FF080800"/>
      <name val="Times New Roman"/>
      <family val="1"/>
    </font>
    <font>
      <b/>
      <sz val="22"/>
      <color rgb="FF050500"/>
      <name val="Times New Roman"/>
      <family val="1"/>
    </font>
    <font>
      <b/>
      <sz val="22"/>
      <color rgb="FF1212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Times New Roman"/>
      <family val="1"/>
    </font>
    <font>
      <b/>
      <sz val="18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7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9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9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left" vertical="top"/>
    </xf>
    <xf numFmtId="164" fontId="9" fillId="0" borderId="0" xfId="0" applyNumberFormat="1" applyFont="1"/>
    <xf numFmtId="0" fontId="9" fillId="0" borderId="10" xfId="0" applyFont="1" applyBorder="1"/>
    <xf numFmtId="0" fontId="15" fillId="0" borderId="0" xfId="0" applyFont="1"/>
    <xf numFmtId="164" fontId="15" fillId="0" borderId="0" xfId="0" applyNumberFormat="1" applyFont="1"/>
    <xf numFmtId="0" fontId="16" fillId="0" borderId="6" xfId="0" applyFont="1" applyBorder="1"/>
    <xf numFmtId="0" fontId="14" fillId="0" borderId="0" xfId="0" applyFont="1"/>
    <xf numFmtId="0" fontId="9" fillId="0" borderId="9" xfId="0" applyFont="1" applyBorder="1"/>
    <xf numFmtId="0" fontId="9" fillId="0" borderId="11" xfId="0" applyFont="1" applyBorder="1"/>
    <xf numFmtId="0" fontId="17" fillId="0" borderId="0" xfId="0" applyFont="1"/>
    <xf numFmtId="0" fontId="3" fillId="2" borderId="12" xfId="0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/>
    </xf>
    <xf numFmtId="165" fontId="3" fillId="2" borderId="12" xfId="2" applyNumberFormat="1" applyFont="1" applyFill="1" applyBorder="1" applyAlignment="1">
      <alignment horizontal="center"/>
    </xf>
    <xf numFmtId="164" fontId="9" fillId="0" borderId="0" xfId="0" applyNumberFormat="1" applyFont="1"/>
    <xf numFmtId="0" fontId="0" fillId="0" borderId="0" xfId="0" applyBorder="1"/>
    <xf numFmtId="1" fontId="0" fillId="0" borderId="0" xfId="0" applyNumberFormat="1" applyBorder="1"/>
    <xf numFmtId="0" fontId="0" fillId="0" borderId="0" xfId="0" applyFill="1" applyBorder="1"/>
    <xf numFmtId="1" fontId="0" fillId="0" borderId="0" xfId="0" applyNumberFormat="1" applyFill="1" applyBorder="1"/>
    <xf numFmtId="0" fontId="0" fillId="0" borderId="12" xfId="0" applyBorder="1"/>
    <xf numFmtId="14" fontId="0" fillId="0" borderId="12" xfId="0" applyNumberFormat="1" applyBorder="1"/>
    <xf numFmtId="165" fontId="0" fillId="0" borderId="12" xfId="2" applyNumberFormat="1" applyFont="1" applyBorder="1"/>
    <xf numFmtId="0" fontId="0" fillId="0" borderId="12" xfId="0" applyBorder="1" applyAlignment="1">
      <alignment horizontal="center"/>
    </xf>
    <xf numFmtId="49" fontId="9" fillId="0" borderId="6" xfId="0" applyNumberFormat="1" applyFont="1" applyBorder="1"/>
    <xf numFmtId="164" fontId="9" fillId="0" borderId="0" xfId="0" applyNumberFormat="1" applyFont="1" applyAlignment="1">
      <alignment horizont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164" fontId="9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9" fillId="0" borderId="0" xfId="0" applyNumberFormat="1" applyFont="1" applyAlignment="1">
      <alignment horizontal="left"/>
    </xf>
    <xf numFmtId="0" fontId="14" fillId="0" borderId="10" xfId="0" applyFont="1" applyBorder="1"/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urrency [0]" xfId="2" builtinId="7"/>
    <cellStyle name="Hyperlink" xfId="1" builtinId="8"/>
    <cellStyle name="Normal" xfId="0" builtinId="0"/>
  </cellStyles>
  <dxfs count="26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4" formatCode="_-[$Rp-3809]* #,##0.00_-;\-[$Rp-3809]* #,##0.00_-;_-[$Rp-3809]* &quot;-&quot;??_-;_-@_-"/>
    </dxf>
    <dxf>
      <numFmt numFmtId="164" formatCode="_-[$Rp-3809]* #,##0.00_-;\-[$Rp-3809]* #,##0.00_-;_-[$Rp-3809]* &quot;-&quot;??_-;_-@_-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114996</xdr:colOff>
      <xdr:row>1</xdr:row>
      <xdr:rowOff>69793</xdr:rowOff>
    </xdr:from>
    <xdr:to>
      <xdr:col>2</xdr:col>
      <xdr:colOff>586740</xdr:colOff>
      <xdr:row>5</xdr:row>
      <xdr:rowOff>57261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48C7C-67E6-406A-85E1-69AAD7982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176" y="260293"/>
          <a:ext cx="967044" cy="863768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</xdr:colOff>
      <xdr:row>31</xdr:row>
      <xdr:rowOff>106680</xdr:rowOff>
    </xdr:from>
    <xdr:to>
      <xdr:col>11</xdr:col>
      <xdr:colOff>243840</xdr:colOff>
      <xdr:row>37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C611F3-BA61-4810-803D-A5ACED10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6202680"/>
          <a:ext cx="2369820" cy="1028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4.423603240743" createdVersion="6" refreshedVersion="7" minRefreshableVersion="3" recordCount="38" xr:uid="{CF03310F-5C03-41A8-8EEB-E65ACB47CAD8}">
  <cacheSource type="worksheet">
    <worksheetSource ref="A1:S39" sheet="Partner_Revenue_Details"/>
  </cacheSource>
  <cacheFields count="19">
    <cacheField name="Group Management" numFmtId="0">
      <sharedItems/>
    </cacheField>
    <cacheField name="Collaborator" numFmtId="0">
      <sharedItems count="1">
        <s v="M AZRIL ILHAM"/>
      </sharedItems>
    </cacheField>
    <cacheField name="Asset Type" numFmtId="0">
      <sharedItems count="1">
        <s v="Cover Asset"/>
      </sharedItems>
    </cacheField>
    <cacheField name="Sales Period" numFmtId="0">
      <sharedItems/>
    </cacheField>
    <cacheField name="Reporting Period" numFmtId="0">
      <sharedItems/>
    </cacheField>
    <cacheField name="Store Name" numFmtId="0">
      <sharedItems/>
    </cacheField>
    <cacheField name="Track Title" numFmtId="0">
      <sharedItems count="2">
        <s v="Menungso Oratoto"/>
        <s v="Tresno Liyane"/>
      </sharedItems>
    </cacheField>
    <cacheField name="ISRC" numFmtId="0">
      <sharedItems/>
    </cacheField>
    <cacheField name="Track Artists" numFmtId="0">
      <sharedItems count="1">
        <s v="Drylz"/>
      </sharedItems>
    </cacheField>
    <cacheField name="UPC Code" numFmtId="0">
      <sharedItems containsSemiMixedTypes="0" containsString="0" containsNumber="1" containsInteger="1" minValue="899000099219" maxValue="899000099424"/>
    </cacheField>
    <cacheField name="Album Title" numFmtId="0">
      <sharedItems/>
    </cacheField>
    <cacheField name="Sales Sub Type" numFmtId="0">
      <sharedItems/>
    </cacheField>
    <cacheField name="Release Date" numFmtId="14">
      <sharedItems containsSemiMixedTypes="0" containsNonDate="0" containsDate="1" containsString="0" minDate="2026-02-13T00:00:00" maxDate="2026-02-27T00:00:00"/>
    </cacheField>
    <cacheField name="Sales Type" numFmtId="0">
      <sharedItems/>
    </cacheField>
    <cacheField name="Units of Sold" numFmtId="0">
      <sharedItems containsSemiMixedTypes="0" containsString="0" containsNumber="1" containsInteger="1" minValue="1" maxValue="1546"/>
    </cacheField>
    <cacheField name="Final Royalty" numFmtId="165">
      <sharedItems containsSemiMixedTypes="0" containsString="0" containsNumber="1" minValue="0" maxValue="18.747854999999998"/>
    </cacheField>
    <cacheField name="Yukkolab" numFmtId="165">
      <sharedItems containsSemiMixedTypes="0" containsString="0" containsNumber="1" minValue="0" maxValue="6.2492849999999995"/>
    </cacheField>
    <cacheField name="Agency" numFmtId="165">
      <sharedItems containsSemiMixedTypes="0" containsString="0" containsNumber="1" minValue="0" maxValue="2.0830949999999997"/>
    </cacheField>
    <cacheField name="CO" numFmtId="165">
      <sharedItems containsSemiMixedTypes="0" containsString="0" containsNumber="1" minValue="0" maxValue="10.415474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2"/>
    <n v="3.3736500000000003E-2"/>
    <n v="1.12455E-2"/>
    <n v="3.7485000000000005E-3"/>
    <n v="1.8742500000000002E-2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CREATION"/>
    <n v="4"/>
    <n v="18.747854999999998"/>
    <n v="6.2492849999999995"/>
    <n v="2.0830949999999997"/>
    <n v="10.415474999999999"/>
  </r>
  <r>
    <s v="Dynotic Rework"/>
    <x v="0"/>
    <x v="0"/>
    <s v="2026-03-01~2026-03-31"/>
    <s v="2026-04"/>
    <s v="TikTok"/>
    <x v="0"/>
    <s v="IDR012614221"/>
    <x v="0"/>
    <n v="899000099424"/>
    <s v="Menungso Oratoto"/>
    <s v="UGC"/>
    <d v="2026-02-26T00:00:00"/>
    <s v="VIDEO_VIEW"/>
    <n v="2"/>
    <n v="0"/>
    <n v="0"/>
    <n v="0"/>
    <n v="0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VIDEO_VIEW"/>
    <n v="3"/>
    <n v="0.1590435"/>
    <n v="5.3014499999999999E-2"/>
    <n v="1.7671500000000003E-2"/>
    <n v="8.8357500000000005E-2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VIDEO_VIEW"/>
    <n v="13"/>
    <n v="0.89160750000000011"/>
    <n v="0.29720250000000004"/>
    <n v="9.9067500000000017E-2"/>
    <n v="0.49533750000000004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6"/>
    <n v="0.183141"/>
    <n v="6.1046999999999997E-2"/>
    <n v="2.0349000000000003E-2"/>
    <n v="0.101745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7"/>
    <n v="9.1570499999999999E-2"/>
    <n v="3.0523499999999999E-2"/>
    <n v="1.0174500000000001E-2"/>
    <n v="5.0872500000000001E-2"/>
  </r>
  <r>
    <s v="Dynotic Rework"/>
    <x v="0"/>
    <x v="0"/>
    <s v="2026-03-01~2026-03-31"/>
    <s v="2026-04"/>
    <s v="TikTok"/>
    <x v="0"/>
    <s v="IDR012614221"/>
    <x v="0"/>
    <n v="899000099424"/>
    <s v="Menungso Oratoto"/>
    <s v="UGC"/>
    <d v="2026-02-26T00:00:00"/>
    <s v="VIDEO_VIEW"/>
    <n v="1"/>
    <n v="4.8195000000000009E-3"/>
    <n v="1.6065000000000001E-3"/>
    <n v="5.3550000000000006E-4"/>
    <n v="2.6775000000000002E-3"/>
  </r>
  <r>
    <s v="Dynotic Rework"/>
    <x v="0"/>
    <x v="0"/>
    <s v="2026-04-01~2026-04-30"/>
    <s v="2026-04"/>
    <s v="TikTok"/>
    <x v="0"/>
    <s v="IDR012614221"/>
    <x v="0"/>
    <n v="899000099424"/>
    <s v="Menungso Oratoto"/>
    <s v="UGC"/>
    <d v="2026-02-26T00:00:00"/>
    <s v="VIDEO_VIEW"/>
    <n v="320"/>
    <n v="1.6723665000000001"/>
    <n v="0.55745549999999999"/>
    <n v="0.18581850000000003"/>
    <n v="0.9290925000000001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10"/>
    <n v="0.11084849999999999"/>
    <n v="3.6949499999999996E-2"/>
    <n v="1.2316500000000001E-2"/>
    <n v="6.1582499999999998E-2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2"/>
    <n v="5.7833999999999997E-2"/>
    <n v="1.9278E-2"/>
    <n v="6.4260000000000003E-3"/>
    <n v="3.2129999999999999E-2"/>
  </r>
  <r>
    <s v="Dynotic Rework"/>
    <x v="0"/>
    <x v="0"/>
    <s v="2026-03-01~2026-03-31"/>
    <s v="2026-04"/>
    <s v="TikTok"/>
    <x v="1"/>
    <s v="IDR012614189"/>
    <x v="0"/>
    <n v="899000099219"/>
    <s v="Tresno Liyane"/>
    <s v="UGC"/>
    <d v="2026-02-13T00:00:00"/>
    <s v="VIDEO_VIEW"/>
    <n v="1"/>
    <n v="3.8556000000000007E-2"/>
    <n v="1.2852000000000001E-2"/>
    <n v="4.2840000000000005E-3"/>
    <n v="2.1420000000000002E-2"/>
  </r>
  <r>
    <s v="Dynotic Rework"/>
    <x v="0"/>
    <x v="0"/>
    <s v="2026-04-01~2026-04-30"/>
    <s v="2026-04"/>
    <s v="TikTok"/>
    <x v="0"/>
    <s v="IDR012614221"/>
    <x v="0"/>
    <n v="899000099424"/>
    <s v="Menungso Oratoto"/>
    <s v="UGC"/>
    <d v="2026-02-26T00:00:00"/>
    <s v="VIDEO_VIEW"/>
    <n v="2"/>
    <n v="1.9278000000000003E-2"/>
    <n v="6.4260000000000003E-3"/>
    <n v="2.1420000000000002E-3"/>
    <n v="1.0710000000000001E-2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2"/>
    <n v="0"/>
    <n v="0"/>
    <n v="0"/>
    <n v="0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VIDEO_VIEW"/>
    <n v="458"/>
    <n v="2.3904719999999999"/>
    <n v="0.79682400000000009"/>
    <n v="0.26560800000000001"/>
    <n v="1.3280400000000001"/>
  </r>
  <r>
    <s v="Dynotic Rework"/>
    <x v="0"/>
    <x v="0"/>
    <s v="2026-04-01~2026-04-30"/>
    <s v="2026-04"/>
    <s v="TikTok"/>
    <x v="0"/>
    <s v="IDR012614221"/>
    <x v="0"/>
    <n v="899000099424"/>
    <s v="Menungso Oratoto"/>
    <s v="PGC"/>
    <d v="2026-02-26T00:00:00"/>
    <s v="VIDEO_VIEW"/>
    <n v="1"/>
    <n v="0"/>
    <n v="0"/>
    <n v="0"/>
    <n v="0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3"/>
    <n v="0.21205800000000002"/>
    <n v="7.0685999999999999E-2"/>
    <n v="2.3562000000000003E-2"/>
    <n v="0.11781000000000001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1546"/>
    <n v="7.108762500000001"/>
    <n v="2.3695875000000002"/>
    <n v="0.78986250000000013"/>
    <n v="3.9493125000000004"/>
  </r>
  <r>
    <s v="Dynotic Rework"/>
    <x v="0"/>
    <x v="0"/>
    <s v="2026-03-01~2026-03-31"/>
    <s v="2026-04"/>
    <s v="TikTok"/>
    <x v="0"/>
    <s v="IDR012614221"/>
    <x v="0"/>
    <n v="899000099424"/>
    <s v="Menungso Oratoto"/>
    <s v="UGC"/>
    <d v="2026-02-26T00:00:00"/>
    <s v="VIDEO_VIEW"/>
    <n v="856"/>
    <n v="3.9327119999999995"/>
    <n v="1.3109039999999998"/>
    <n v="0.43696800000000002"/>
    <n v="2.1848399999999999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1"/>
    <n v="2.8916999999999998E-2"/>
    <n v="9.639E-3"/>
    <n v="3.2130000000000001E-3"/>
    <n v="1.6064999999999999E-2"/>
  </r>
  <r>
    <s v="Dynotic Rework"/>
    <x v="0"/>
    <x v="0"/>
    <s v="2026-03-01~2026-03-31"/>
    <s v="2026-04"/>
    <s v="TikTok"/>
    <x v="1"/>
    <s v="IDR012614189"/>
    <x v="0"/>
    <n v="899000099219"/>
    <s v="Tresno Liyane"/>
    <s v="UGC"/>
    <d v="2026-02-13T00:00:00"/>
    <s v="VIDEO_VIEW"/>
    <n v="4"/>
    <n v="0.28435049999999995"/>
    <n v="9.4783499999999993E-2"/>
    <n v="3.1594499999999998E-2"/>
    <n v="0.15797249999999999"/>
  </r>
  <r>
    <s v="Dynotic Rework"/>
    <x v="0"/>
    <x v="0"/>
    <s v="2026-04-01~2026-04-30"/>
    <s v="2026-04"/>
    <s v="TikTok"/>
    <x v="0"/>
    <s v="IDR012614221"/>
    <x v="0"/>
    <n v="899000099424"/>
    <s v="Menungso Oratoto"/>
    <s v="UGC"/>
    <d v="2026-02-26T00:00:00"/>
    <s v="VIDEO_VIEW"/>
    <n v="2"/>
    <n v="0.10120949999999999"/>
    <n v="3.3736499999999996E-2"/>
    <n v="1.12455E-2"/>
    <n v="5.62275E-2"/>
  </r>
  <r>
    <s v="Dynotic Rework"/>
    <x v="0"/>
    <x v="0"/>
    <s v="2026-04-01~2026-04-30"/>
    <s v="2026-04"/>
    <s v="TikTok"/>
    <x v="1"/>
    <s v="IDR012614189"/>
    <x v="0"/>
    <n v="899000099219"/>
    <s v="Tresno Liyane"/>
    <s v="UGC"/>
    <d v="2026-02-13T00:00:00"/>
    <s v="VIDEO_VIEW"/>
    <n v="27"/>
    <n v="0.13494600000000001"/>
    <n v="4.4982000000000001E-2"/>
    <n v="1.4994000000000002E-2"/>
    <n v="7.4970000000000009E-2"/>
  </r>
  <r>
    <s v="Dynotic Rework"/>
    <x v="0"/>
    <x v="0"/>
    <s v="2026-03-01~2026-03-31"/>
    <s v="2026-04"/>
    <s v="TikTok"/>
    <x v="1"/>
    <s v="IDR012614189"/>
    <x v="0"/>
    <n v="899000099219"/>
    <s v="Tresno Liyane"/>
    <s v="UGC"/>
    <d v="2026-02-13T00:00:00"/>
    <s v="VIDEO_VIEW"/>
    <n v="1"/>
    <n v="2.8916999999999998E-2"/>
    <n v="9.639E-3"/>
    <n v="3.2130000000000001E-3"/>
    <n v="1.6064999999999999E-2"/>
  </r>
  <r>
    <s v="Dynotic Rework"/>
    <x v="0"/>
    <x v="0"/>
    <s v="2026-04-01~2026-04-30"/>
    <s v="2026-04"/>
    <s v="TikTok"/>
    <x v="0"/>
    <s v="IDR012614221"/>
    <x v="0"/>
    <n v="899000099424"/>
    <s v="Menungso Oratoto"/>
    <s v="PGC"/>
    <d v="2026-02-26T00:00:00"/>
    <s v="VIDEO_VIEW"/>
    <n v="7"/>
    <n v="3.3736500000000003E-2"/>
    <n v="1.12455E-2"/>
    <n v="3.7485000000000005E-3"/>
    <n v="1.8742500000000002E-2"/>
  </r>
  <r>
    <s v="Dynotic Rework"/>
    <x v="0"/>
    <x v="0"/>
    <s v="2026-04-01~2026-04-30"/>
    <s v="2026-04"/>
    <s v="TikTok"/>
    <x v="0"/>
    <s v="IDR012614221"/>
    <x v="0"/>
    <n v="899000099424"/>
    <s v="Menungso Oratoto"/>
    <s v="PGC"/>
    <d v="2026-02-26T00:00:00"/>
    <s v="VIDEO_VIEW"/>
    <n v="1"/>
    <n v="1.9278000000000003E-2"/>
    <n v="6.4260000000000003E-3"/>
    <n v="2.1420000000000002E-3"/>
    <n v="1.0710000000000001E-2"/>
  </r>
  <r>
    <s v="Dynotic Rework"/>
    <x v="0"/>
    <x v="0"/>
    <s v="2026-04-01~2026-04-30"/>
    <s v="2026-04"/>
    <s v="TikTok"/>
    <x v="0"/>
    <s v="IDR012614221"/>
    <x v="0"/>
    <n v="899000099424"/>
    <s v="Menungso Oratoto"/>
    <s v="UGC"/>
    <d v="2026-02-26T00:00:00"/>
    <s v="CREATION"/>
    <n v="1"/>
    <n v="4.6845540000000003"/>
    <n v="1.5615180000000002"/>
    <n v="0.52050600000000002"/>
    <n v="2.6025300000000002"/>
  </r>
  <r>
    <s v="Dynotic Rework"/>
    <x v="0"/>
    <x v="0"/>
    <s v="2026-03-01~2026-03-31"/>
    <s v="2026-04"/>
    <s v="TikTok"/>
    <x v="1"/>
    <s v="IDR012614189"/>
    <x v="0"/>
    <n v="899000099219"/>
    <s v="Tresno Liyane"/>
    <s v="UGC"/>
    <d v="2026-02-13T00:00:00"/>
    <s v="VIDEO_VIEW"/>
    <n v="1"/>
    <n v="4.8195000000000009E-3"/>
    <n v="1.6065000000000001E-3"/>
    <n v="5.3550000000000006E-4"/>
    <n v="2.6775000000000002E-3"/>
  </r>
  <r>
    <s v="Dynotic Rework"/>
    <x v="0"/>
    <x v="0"/>
    <s v="2026-03-01~2026-03-31"/>
    <s v="2026-04"/>
    <s v="TikTok"/>
    <x v="1"/>
    <s v="IDR012614189"/>
    <x v="0"/>
    <n v="899000099219"/>
    <s v="Tresno Liyane"/>
    <s v="UGC"/>
    <d v="2026-02-13T00:00:00"/>
    <s v="VIDEO_VIEW"/>
    <n v="76"/>
    <n v="0.34700399999999998"/>
    <n v="0.11566799999999999"/>
    <n v="3.8556000000000007E-2"/>
    <n v="0.19278000000000001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3"/>
    <n v="8.1931500000000018E-2"/>
    <n v="2.7310500000000005E-2"/>
    <n v="9.1035000000000022E-3"/>
    <n v="4.5517500000000009E-2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1"/>
    <n v="4.3375499999999997E-2"/>
    <n v="1.4458499999999999E-2"/>
    <n v="4.8195000000000009E-3"/>
    <n v="2.4097500000000001E-2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204"/>
    <n v="0.93498300000000012"/>
    <n v="0.31166100000000002"/>
    <n v="0.10388700000000002"/>
    <n v="0.51943500000000009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VIDEO_VIEW"/>
    <n v="4"/>
    <n v="4.3375499999999997E-2"/>
    <n v="1.4458499999999999E-2"/>
    <n v="4.8195000000000009E-3"/>
    <n v="2.4097500000000001E-2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27"/>
    <n v="1.9326195000000002"/>
    <n v="0.64420650000000002"/>
    <n v="0.21473550000000002"/>
    <n v="1.0736775000000001"/>
  </r>
  <r>
    <s v="Dynotic Rework"/>
    <x v="0"/>
    <x v="0"/>
    <s v="2026-03-01~2026-03-31"/>
    <s v="2026-04"/>
    <s v="TikTok"/>
    <x v="0"/>
    <s v="IDR012614221"/>
    <x v="0"/>
    <n v="899000099424"/>
    <s v="Menungso Oratoto"/>
    <s v="PGC"/>
    <d v="2026-02-26T00:00:00"/>
    <s v="VIDEO_VIEW"/>
    <n v="8"/>
    <n v="0.31326750000000003"/>
    <n v="0.1044225"/>
    <n v="3.4807500000000005E-2"/>
    <n v="0.17403750000000001"/>
  </r>
  <r>
    <s v="Dynotic Rework"/>
    <x v="0"/>
    <x v="0"/>
    <s v="2026-03-01~2026-03-31"/>
    <s v="2026-04"/>
    <s v="TikTok"/>
    <x v="0"/>
    <s v="IDR012614221"/>
    <x v="0"/>
    <n v="899000099424"/>
    <s v="Menungso Oratoto"/>
    <s v="UGC"/>
    <d v="2026-02-26T00:00:00"/>
    <s v="VIDEO_VIEW"/>
    <n v="2"/>
    <n v="0.13976549999999999"/>
    <n v="4.6588499999999998E-2"/>
    <n v="1.55295E-2"/>
    <n v="7.7647499999999994E-2"/>
  </r>
  <r>
    <s v="Dynotic Rework"/>
    <x v="0"/>
    <x v="0"/>
    <s v="2026-04-01~2026-04-30"/>
    <s v="2026-04"/>
    <s v="TikTok"/>
    <x v="1"/>
    <s v="IDR012614189"/>
    <x v="0"/>
    <n v="899000099219"/>
    <s v="Tresno Liyane"/>
    <s v="PGC"/>
    <d v="2026-02-13T00:00:00"/>
    <s v="VIDEO_VIEW"/>
    <n v="25"/>
    <n v="0.366282"/>
    <n v="0.12209399999999999"/>
    <n v="4.0698000000000005E-2"/>
    <n v="0.20349"/>
  </r>
  <r>
    <s v="Dynotic Rework"/>
    <x v="0"/>
    <x v="0"/>
    <s v="2026-03-01~2026-03-31"/>
    <s v="2026-04"/>
    <s v="TikTok"/>
    <x v="1"/>
    <s v="IDR012614189"/>
    <x v="0"/>
    <n v="899000099219"/>
    <s v="Tresno Liyane"/>
    <s v="PGC"/>
    <d v="2026-02-13T00:00:00"/>
    <s v="VIDEO_VIEW"/>
    <n v="4"/>
    <n v="0.15422400000000003"/>
    <n v="5.1408000000000002E-2"/>
    <n v="1.7136000000000002E-2"/>
    <n v="8.568000000000000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44091-08C3-4FFD-A4D9-9DB175A0D735}" name="PivotTable7" cacheId="106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Collabolator">
  <location ref="A1:E7" firstHeaderRow="0" firstDataRow="1" firstDataCol="1"/>
  <pivotFields count="19"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4">
    <field x="1"/>
    <field x="2"/>
    <field x="8"/>
    <field x="6"/>
  </rowFields>
  <rowItems count="6">
    <i>
      <x/>
    </i>
    <i r="1">
      <x/>
    </i>
    <i r="2">
      <x/>
    </i>
    <i r="3">
      <x/>
    </i>
    <i r="3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Final Royalty" fld="15" baseField="0" baseItem="0"/>
    <dataField name="Sum of Yukkolab" fld="16" baseField="0" baseItem="0"/>
    <dataField name="Sum of Agency" fld="17" baseField="0" baseItem="0"/>
    <dataField name="Sum of CO" fld="18" baseField="0" baseItem="0"/>
  </dataFields>
  <formats count="17"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ukkolab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EA28-DAE2-45C5-8E6F-7A41479107DF}">
  <dimension ref="B1:P41"/>
  <sheetViews>
    <sheetView showGridLines="0" tabSelected="1" workbookViewId="0"/>
  </sheetViews>
  <sheetFormatPr defaultRowHeight="15" x14ac:dyDescent="0.25"/>
  <cols>
    <col min="1" max="1" width="9.85546875" customWidth="1"/>
    <col min="2" max="2" width="7.28515625" customWidth="1"/>
    <col min="3" max="3" width="13.140625" bestFit="1" customWidth="1"/>
    <col min="4" max="4" width="10.85546875" customWidth="1"/>
    <col min="5" max="5" width="23.5703125" customWidth="1"/>
    <col min="6" max="6" width="7.5703125" customWidth="1"/>
    <col min="7" max="8" width="13.7109375" customWidth="1"/>
    <col min="9" max="9" width="10.42578125" customWidth="1"/>
    <col min="10" max="10" width="11.28515625" customWidth="1"/>
    <col min="11" max="11" width="10.140625" customWidth="1"/>
    <col min="12" max="12" width="4.28515625" customWidth="1"/>
    <col min="13" max="13" width="4.42578125" customWidth="1"/>
    <col min="14" max="14" width="16.140625" bestFit="1" customWidth="1"/>
    <col min="16" max="16" width="16.140625" bestFit="1" customWidth="1"/>
  </cols>
  <sheetData>
    <row r="1" spans="2:13" ht="15.75" thickBot="1" x14ac:dyDescent="0.3"/>
    <row r="2" spans="2:13" ht="25.9" customHeight="1" x14ac:dyDescent="0.25">
      <c r="B2" s="49" t="s">
        <v>18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2:13" x14ac:dyDescent="0.25">
      <c r="B3" s="52" t="s">
        <v>19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2:13" x14ac:dyDescent="0.25">
      <c r="B4" s="55" t="s">
        <v>20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</row>
    <row r="5" spans="2:13" x14ac:dyDescent="0.25">
      <c r="B5" s="58" t="s">
        <v>21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60"/>
    </row>
    <row r="6" spans="2:13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spans="2:13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spans="2:13" ht="14.45" customHeight="1" x14ac:dyDescent="0.25">
      <c r="B8" s="61" t="s">
        <v>41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3"/>
    </row>
    <row r="9" spans="2:13" ht="15" customHeight="1" x14ac:dyDescent="0.25"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</row>
    <row r="10" spans="2:13" ht="13.15" customHeight="1" thickBot="1" x14ac:dyDescent="0.3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2:13" ht="15.75" thickBot="1" x14ac:dyDescent="0.3">
      <c r="B11" s="12" t="s">
        <v>22</v>
      </c>
      <c r="C11" s="13"/>
      <c r="D11" s="14"/>
      <c r="E11" s="43" t="s">
        <v>66</v>
      </c>
      <c r="F11" s="15"/>
      <c r="G11" s="7"/>
      <c r="H11" s="7"/>
      <c r="I11" s="7"/>
      <c r="J11" s="7"/>
      <c r="K11" s="7"/>
      <c r="L11" s="7"/>
      <c r="M11" s="8"/>
    </row>
    <row r="12" spans="2:13" ht="15.75" thickBot="1" x14ac:dyDescent="0.3">
      <c r="B12" s="16" t="s">
        <v>13</v>
      </c>
      <c r="C12" s="17"/>
      <c r="D12" s="18"/>
      <c r="E12" s="70" t="s">
        <v>55</v>
      </c>
      <c r="F12" s="71"/>
      <c r="G12" s="7"/>
      <c r="H12" s="7"/>
      <c r="I12" s="7"/>
      <c r="J12" s="7"/>
      <c r="K12" s="7"/>
      <c r="L12" s="7"/>
      <c r="M12" s="8"/>
    </row>
    <row r="13" spans="2:13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</row>
    <row r="14" spans="2:13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</row>
    <row r="15" spans="2:13" ht="22.5" x14ac:dyDescent="0.3">
      <c r="B15" s="64" t="s">
        <v>23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</row>
    <row r="16" spans="2:13" x14ac:dyDescent="0.25">
      <c r="B16" s="6"/>
      <c r="C16" s="7"/>
      <c r="D16" s="7"/>
      <c r="E16" s="7"/>
      <c r="F16" s="7"/>
      <c r="G16" s="7"/>
      <c r="H16" s="7"/>
      <c r="I16" s="7"/>
      <c r="J16" s="7"/>
      <c r="K16" s="19"/>
      <c r="L16" s="7"/>
      <c r="M16" s="8"/>
    </row>
    <row r="17" spans="2:16" ht="16.5" thickBot="1" x14ac:dyDescent="0.3">
      <c r="B17" s="6"/>
      <c r="C17" s="47" t="s">
        <v>24</v>
      </c>
      <c r="D17" s="47"/>
      <c r="E17" s="7"/>
      <c r="F17" s="20"/>
      <c r="G17" s="20"/>
      <c r="H17" s="20"/>
      <c r="I17" s="20"/>
      <c r="J17" s="67" t="s">
        <v>25</v>
      </c>
      <c r="K17" s="67"/>
      <c r="L17" s="7"/>
      <c r="M17" s="8"/>
    </row>
    <row r="18" spans="2:16" x14ac:dyDescent="0.25">
      <c r="B18" s="6"/>
      <c r="C18" s="21" t="s">
        <v>10</v>
      </c>
      <c r="D18" s="7"/>
      <c r="E18" s="7"/>
      <c r="F18" s="7"/>
      <c r="G18" s="7"/>
      <c r="H18" s="7"/>
      <c r="I18" s="7"/>
      <c r="J18" s="68">
        <v>45.332216999999986</v>
      </c>
      <c r="K18" s="68"/>
      <c r="L18" s="7"/>
      <c r="M18" s="8"/>
      <c r="N18" s="1"/>
    </row>
    <row r="19" spans="2:16" x14ac:dyDescent="0.25">
      <c r="B19" s="6"/>
      <c r="C19" s="21"/>
      <c r="D19" s="7"/>
      <c r="E19" s="7"/>
      <c r="F19" s="7"/>
      <c r="G19" s="7"/>
      <c r="H19" s="7"/>
      <c r="I19" s="7"/>
      <c r="J19" s="34"/>
      <c r="K19" s="22"/>
      <c r="L19" s="7"/>
      <c r="M19" s="8"/>
      <c r="N19" s="1"/>
    </row>
    <row r="20" spans="2:16" ht="16.5" thickBot="1" x14ac:dyDescent="0.3">
      <c r="B20" s="6"/>
      <c r="C20" s="69" t="s">
        <v>26</v>
      </c>
      <c r="D20" s="69"/>
      <c r="E20" s="7"/>
      <c r="F20" s="7"/>
      <c r="G20" s="7"/>
      <c r="H20" s="7"/>
      <c r="I20" s="7"/>
      <c r="J20" s="7"/>
      <c r="K20" s="22"/>
      <c r="L20" s="7"/>
      <c r="M20" s="8"/>
      <c r="N20" s="1"/>
    </row>
    <row r="21" spans="2:16" x14ac:dyDescent="0.25">
      <c r="B21" s="6"/>
      <c r="C21" s="21" t="s">
        <v>27</v>
      </c>
      <c r="D21" s="7"/>
      <c r="E21" s="7"/>
      <c r="F21" s="7"/>
      <c r="G21" s="7"/>
      <c r="H21" s="7"/>
      <c r="I21" s="7"/>
      <c r="J21" s="44">
        <v>25.184564999999999</v>
      </c>
      <c r="K21" s="44"/>
      <c r="L21" s="7"/>
      <c r="M21" s="8"/>
      <c r="N21" s="1"/>
    </row>
    <row r="22" spans="2:16" x14ac:dyDescent="0.25">
      <c r="B22" s="6"/>
      <c r="C22" s="7" t="s">
        <v>28</v>
      </c>
      <c r="D22" s="7"/>
      <c r="E22" s="7"/>
      <c r="F22" s="7"/>
      <c r="G22" s="7"/>
      <c r="H22" s="7"/>
      <c r="I22" s="7"/>
      <c r="J22" s="44">
        <v>0</v>
      </c>
      <c r="K22" s="44"/>
      <c r="L22" s="7"/>
      <c r="M22" s="8"/>
      <c r="N22" s="1"/>
    </row>
    <row r="23" spans="2:16" x14ac:dyDescent="0.25">
      <c r="B23" s="6"/>
      <c r="C23" s="7" t="s">
        <v>29</v>
      </c>
      <c r="D23" s="7"/>
      <c r="E23" s="7"/>
      <c r="F23" s="7"/>
      <c r="G23" s="7"/>
      <c r="H23" s="7"/>
      <c r="I23" s="7"/>
      <c r="J23" s="44">
        <v>0</v>
      </c>
      <c r="K23" s="44"/>
      <c r="L23" s="7"/>
      <c r="M23" s="8"/>
    </row>
    <row r="24" spans="2:16" x14ac:dyDescent="0.25">
      <c r="B24" s="6"/>
      <c r="C24" s="7"/>
      <c r="D24" s="7"/>
      <c r="E24" s="7"/>
      <c r="F24" s="7"/>
      <c r="G24" s="7"/>
      <c r="H24" s="7"/>
      <c r="I24" s="7"/>
      <c r="L24" s="7"/>
      <c r="M24" s="8"/>
      <c r="P24" s="1"/>
    </row>
    <row r="25" spans="2:16" ht="16.5" thickBot="1" x14ac:dyDescent="0.3">
      <c r="B25" s="6"/>
      <c r="C25" s="47" t="s">
        <v>31</v>
      </c>
      <c r="D25" s="47"/>
      <c r="E25" s="24"/>
      <c r="F25" s="24"/>
      <c r="G25" s="24"/>
      <c r="H25" s="24"/>
      <c r="I25" s="24"/>
      <c r="J25" s="25"/>
      <c r="K25" s="25"/>
      <c r="L25" s="7"/>
      <c r="M25" s="8"/>
    </row>
    <row r="26" spans="2:16" x14ac:dyDescent="0.25">
      <c r="B26" s="6"/>
      <c r="C26" s="21" t="s">
        <v>32</v>
      </c>
      <c r="D26" s="7"/>
      <c r="E26" s="7"/>
      <c r="F26" s="7"/>
      <c r="G26" s="7"/>
      <c r="H26" s="7"/>
      <c r="I26" s="7"/>
      <c r="J26" s="48">
        <v>0</v>
      </c>
      <c r="K26" s="48"/>
      <c r="L26" s="7"/>
      <c r="M26" s="8"/>
      <c r="N26" s="48"/>
      <c r="O26" s="48"/>
    </row>
    <row r="27" spans="2:16" x14ac:dyDescent="0.25">
      <c r="B27" s="6"/>
      <c r="C27" s="21" t="s">
        <v>30</v>
      </c>
      <c r="D27" s="7"/>
      <c r="E27" s="7"/>
      <c r="F27" s="7"/>
      <c r="G27" s="7"/>
      <c r="H27" s="7"/>
      <c r="I27" s="7"/>
      <c r="J27" s="48">
        <v>25.184564999999999</v>
      </c>
      <c r="K27" s="48"/>
      <c r="L27" s="7"/>
      <c r="M27" s="8"/>
    </row>
    <row r="28" spans="2:16" ht="15.75" thickBot="1" x14ac:dyDescent="0.3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2:16" ht="21" thickBot="1" x14ac:dyDescent="0.35">
      <c r="B29" s="6"/>
      <c r="C29" s="26" t="s">
        <v>33</v>
      </c>
      <c r="D29" s="13"/>
      <c r="E29" s="13"/>
      <c r="F29" s="13"/>
      <c r="G29" s="13"/>
      <c r="H29" s="13"/>
      <c r="I29" s="14"/>
      <c r="J29" s="45">
        <v>25.184564999999999</v>
      </c>
      <c r="K29" s="46"/>
      <c r="L29" s="7"/>
      <c r="M29" s="8"/>
    </row>
    <row r="30" spans="2:16" x14ac:dyDescent="0.25">
      <c r="B30" s="6"/>
      <c r="C30" s="20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2:16" x14ac:dyDescent="0.25">
      <c r="B31" s="6"/>
      <c r="C31" s="20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2:16" ht="15.75" x14ac:dyDescent="0.25">
      <c r="B32" s="6"/>
      <c r="C32" s="27" t="s">
        <v>34</v>
      </c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2:13" ht="15.75" x14ac:dyDescent="0.25">
      <c r="B33" s="6"/>
      <c r="C33" s="20"/>
      <c r="D33" s="7"/>
      <c r="E33" s="7"/>
      <c r="F33" s="7"/>
      <c r="G33" s="27" t="s">
        <v>35</v>
      </c>
      <c r="H33" s="7"/>
      <c r="I33" s="7"/>
      <c r="J33" s="7"/>
      <c r="K33" s="7"/>
      <c r="L33" s="7"/>
      <c r="M33" s="8"/>
    </row>
    <row r="34" spans="2:13" x14ac:dyDescent="0.25">
      <c r="B34" s="6"/>
      <c r="C34" s="20"/>
      <c r="D34" s="7"/>
      <c r="E34" s="7"/>
      <c r="F34" s="7"/>
      <c r="G34" s="7" t="s">
        <v>36</v>
      </c>
      <c r="H34" s="7"/>
      <c r="I34" s="7" t="s">
        <v>42</v>
      </c>
      <c r="J34" s="7"/>
      <c r="K34" s="7"/>
      <c r="L34" s="7"/>
      <c r="M34" s="8"/>
    </row>
    <row r="35" spans="2:13" x14ac:dyDescent="0.25">
      <c r="B35" s="6"/>
      <c r="C35" s="20"/>
      <c r="D35" s="7"/>
      <c r="E35" s="7"/>
      <c r="F35" s="7"/>
      <c r="G35" s="7" t="s">
        <v>37</v>
      </c>
      <c r="H35" s="7"/>
      <c r="I35" s="7" t="s">
        <v>42</v>
      </c>
      <c r="J35" s="7"/>
      <c r="K35" s="7"/>
      <c r="L35" s="7"/>
      <c r="M35" s="8"/>
    </row>
    <row r="36" spans="2:13" x14ac:dyDescent="0.25">
      <c r="B36" s="6"/>
      <c r="C36" s="20"/>
      <c r="D36" s="7"/>
      <c r="E36" s="7"/>
      <c r="F36" s="7"/>
      <c r="G36" s="7" t="s">
        <v>38</v>
      </c>
      <c r="H36" s="7"/>
      <c r="I36" s="7" t="s">
        <v>42</v>
      </c>
      <c r="J36" s="7"/>
      <c r="K36" s="7"/>
      <c r="L36" s="7"/>
      <c r="M36" s="8"/>
    </row>
    <row r="37" spans="2:13" x14ac:dyDescent="0.25">
      <c r="B37" s="6"/>
      <c r="C37" s="20"/>
      <c r="D37" s="7"/>
      <c r="E37" s="7"/>
      <c r="F37" s="7"/>
      <c r="G37" s="7"/>
      <c r="H37" s="7"/>
      <c r="I37" s="7"/>
      <c r="J37" s="7"/>
      <c r="K37" s="7"/>
      <c r="L37" s="7"/>
      <c r="M37" s="8"/>
    </row>
    <row r="38" spans="2:13" ht="15.75" x14ac:dyDescent="0.25">
      <c r="B38" s="6"/>
      <c r="C38" s="27" t="s">
        <v>39</v>
      </c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2:13" x14ac:dyDescent="0.25">
      <c r="B39" s="6"/>
      <c r="C39" s="7" t="s">
        <v>40</v>
      </c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2:13" ht="15.75" thickBot="1" x14ac:dyDescent="0.3">
      <c r="B40" s="2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9"/>
    </row>
    <row r="41" spans="2:13" x14ac:dyDescent="0.25">
      <c r="B41" s="30"/>
    </row>
  </sheetData>
  <mergeCells count="19">
    <mergeCell ref="J22:K22"/>
    <mergeCell ref="B2:M2"/>
    <mergeCell ref="B3:M3"/>
    <mergeCell ref="B4:M4"/>
    <mergeCell ref="B5:M5"/>
    <mergeCell ref="B8:M9"/>
    <mergeCell ref="B15:M15"/>
    <mergeCell ref="C17:D17"/>
    <mergeCell ref="J17:K17"/>
    <mergeCell ref="J18:K18"/>
    <mergeCell ref="C20:D20"/>
    <mergeCell ref="J21:K21"/>
    <mergeCell ref="E12:F12"/>
    <mergeCell ref="J23:K23"/>
    <mergeCell ref="J29:K29"/>
    <mergeCell ref="C25:D25"/>
    <mergeCell ref="J26:K26"/>
    <mergeCell ref="N26:O26"/>
    <mergeCell ref="J27:K27"/>
  </mergeCells>
  <hyperlinks>
    <hyperlink ref="B5" r:id="rId1" xr:uid="{B6A5E664-8B57-4BB0-A256-16A561DD7A4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B6E8-6818-4AFF-8039-7E499C09CA94}">
  <dimension ref="A1:S39"/>
  <sheetViews>
    <sheetView showGridLines="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1" style="35" bestFit="1" customWidth="1"/>
    <col min="2" max="2" width="14.28515625" style="35" bestFit="1" customWidth="1"/>
    <col min="3" max="3" width="11.42578125" style="35" bestFit="1" customWidth="1"/>
    <col min="4" max="4" width="21.140625" style="35" bestFit="1" customWidth="1"/>
    <col min="5" max="5" width="18" style="35" bestFit="1" customWidth="1"/>
    <col min="6" max="6" width="12.5703125" style="35" bestFit="1" customWidth="1"/>
    <col min="7" max="7" width="17.85546875" style="35" bestFit="1" customWidth="1"/>
    <col min="8" max="8" width="13.140625" style="35" bestFit="1" customWidth="1"/>
    <col min="9" max="9" width="13.28515625" style="35" bestFit="1" customWidth="1"/>
    <col min="10" max="10" width="10.28515625" style="36" bestFit="1" customWidth="1"/>
    <col min="11" max="11" width="17.85546875" style="35" bestFit="1" customWidth="1"/>
    <col min="12" max="12" width="15.5703125" style="35" bestFit="1" customWidth="1"/>
    <col min="13" max="13" width="13.5703125" style="35" bestFit="1" customWidth="1"/>
    <col min="14" max="14" width="12.28515625" style="35" bestFit="1" customWidth="1"/>
    <col min="15" max="15" width="13.5703125" style="38" bestFit="1" customWidth="1"/>
    <col min="16" max="16" width="15.140625" style="37" bestFit="1" customWidth="1"/>
    <col min="17" max="17" width="11.42578125" style="37" bestFit="1" customWidth="1"/>
    <col min="18" max="18" width="9.5703125" style="37" bestFit="1" customWidth="1"/>
    <col min="19" max="19" width="9.28515625" style="35" bestFit="1" customWidth="1"/>
    <col min="20" max="16384" width="8.85546875" style="35"/>
  </cols>
  <sheetData>
    <row r="1" spans="1:19" ht="15.75" x14ac:dyDescent="0.25">
      <c r="A1" s="31" t="s">
        <v>0</v>
      </c>
      <c r="B1" s="31" t="s">
        <v>13</v>
      </c>
      <c r="C1" s="31" t="s">
        <v>1</v>
      </c>
      <c r="D1" s="31" t="s">
        <v>2</v>
      </c>
      <c r="E1" s="31" t="s">
        <v>3</v>
      </c>
      <c r="F1" s="31" t="s">
        <v>43</v>
      </c>
      <c r="G1" s="31" t="s">
        <v>4</v>
      </c>
      <c r="H1" s="31" t="s">
        <v>5</v>
      </c>
      <c r="I1" s="31" t="s">
        <v>6</v>
      </c>
      <c r="J1" s="32" t="s">
        <v>7</v>
      </c>
      <c r="K1" s="31" t="s">
        <v>8</v>
      </c>
      <c r="L1" s="31" t="s">
        <v>44</v>
      </c>
      <c r="M1" s="31" t="s">
        <v>45</v>
      </c>
      <c r="N1" s="31" t="s">
        <v>9</v>
      </c>
      <c r="O1" s="32" t="s">
        <v>46</v>
      </c>
      <c r="P1" s="33" t="s">
        <v>10</v>
      </c>
      <c r="Q1" s="33" t="s">
        <v>11</v>
      </c>
      <c r="R1" s="33" t="s">
        <v>12</v>
      </c>
      <c r="S1" s="33" t="s">
        <v>47</v>
      </c>
    </row>
    <row r="2" spans="1:19" x14ac:dyDescent="0.25">
      <c r="A2" s="39" t="s">
        <v>54</v>
      </c>
      <c r="B2" s="39" t="s">
        <v>55</v>
      </c>
      <c r="C2" s="39" t="s">
        <v>49</v>
      </c>
      <c r="D2" s="39" t="s">
        <v>50</v>
      </c>
      <c r="E2" s="39" t="s">
        <v>56</v>
      </c>
      <c r="F2" s="39" t="s">
        <v>51</v>
      </c>
      <c r="G2" s="39" t="s">
        <v>58</v>
      </c>
      <c r="H2" s="39" t="s">
        <v>59</v>
      </c>
      <c r="I2" s="39" t="s">
        <v>60</v>
      </c>
      <c r="J2" s="39">
        <v>899000099424</v>
      </c>
      <c r="K2" s="39" t="s">
        <v>58</v>
      </c>
      <c r="L2" s="39" t="s">
        <v>53</v>
      </c>
      <c r="M2" s="40">
        <v>46079</v>
      </c>
      <c r="N2" s="39" t="s">
        <v>64</v>
      </c>
      <c r="O2" s="42">
        <v>2</v>
      </c>
      <c r="P2" s="41">
        <v>3.3736500000000003E-2</v>
      </c>
      <c r="Q2" s="41">
        <v>1.12455E-2</v>
      </c>
      <c r="R2" s="41">
        <v>3.7485000000000005E-3</v>
      </c>
      <c r="S2" s="41">
        <v>1.8742500000000002E-2</v>
      </c>
    </row>
    <row r="3" spans="1:19" x14ac:dyDescent="0.25">
      <c r="A3" s="39" t="s">
        <v>54</v>
      </c>
      <c r="B3" s="39" t="s">
        <v>55</v>
      </c>
      <c r="C3" s="39" t="s">
        <v>49</v>
      </c>
      <c r="D3" s="39" t="s">
        <v>57</v>
      </c>
      <c r="E3" s="39" t="s">
        <v>56</v>
      </c>
      <c r="F3" s="39" t="s">
        <v>51</v>
      </c>
      <c r="G3" s="39" t="s">
        <v>61</v>
      </c>
      <c r="H3" s="39" t="s">
        <v>62</v>
      </c>
      <c r="I3" s="39" t="s">
        <v>60</v>
      </c>
      <c r="J3" s="39">
        <v>899000099219</v>
      </c>
      <c r="K3" s="39" t="s">
        <v>61</v>
      </c>
      <c r="L3" s="39" t="s">
        <v>53</v>
      </c>
      <c r="M3" s="40">
        <v>46066</v>
      </c>
      <c r="N3" s="39" t="s">
        <v>52</v>
      </c>
      <c r="O3" s="42">
        <v>4</v>
      </c>
      <c r="P3" s="41">
        <v>18.747854999999998</v>
      </c>
      <c r="Q3" s="41">
        <v>6.2492849999999995</v>
      </c>
      <c r="R3" s="41">
        <v>2.0830949999999997</v>
      </c>
      <c r="S3" s="41">
        <v>10.415474999999999</v>
      </c>
    </row>
    <row r="4" spans="1:19" x14ac:dyDescent="0.25">
      <c r="A4" s="39" t="s">
        <v>54</v>
      </c>
      <c r="B4" s="39" t="s">
        <v>55</v>
      </c>
      <c r="C4" s="39" t="s">
        <v>49</v>
      </c>
      <c r="D4" s="39" t="s">
        <v>50</v>
      </c>
      <c r="E4" s="39" t="s">
        <v>56</v>
      </c>
      <c r="F4" s="39" t="s">
        <v>51</v>
      </c>
      <c r="G4" s="39" t="s">
        <v>58</v>
      </c>
      <c r="H4" s="39" t="s">
        <v>59</v>
      </c>
      <c r="I4" s="39" t="s">
        <v>60</v>
      </c>
      <c r="J4" s="39">
        <v>899000099424</v>
      </c>
      <c r="K4" s="39" t="s">
        <v>58</v>
      </c>
      <c r="L4" s="39" t="s">
        <v>63</v>
      </c>
      <c r="M4" s="40">
        <v>46079</v>
      </c>
      <c r="N4" s="39" t="s">
        <v>64</v>
      </c>
      <c r="O4" s="42">
        <v>2</v>
      </c>
      <c r="P4" s="41">
        <v>0</v>
      </c>
      <c r="Q4" s="41">
        <v>0</v>
      </c>
      <c r="R4" s="41">
        <v>0</v>
      </c>
      <c r="S4" s="41">
        <v>0</v>
      </c>
    </row>
    <row r="5" spans="1:19" x14ac:dyDescent="0.25">
      <c r="A5" s="39" t="s">
        <v>54</v>
      </c>
      <c r="B5" s="39" t="s">
        <v>55</v>
      </c>
      <c r="C5" s="39" t="s">
        <v>49</v>
      </c>
      <c r="D5" s="39" t="s">
        <v>57</v>
      </c>
      <c r="E5" s="39" t="s">
        <v>56</v>
      </c>
      <c r="F5" s="39" t="s">
        <v>51</v>
      </c>
      <c r="G5" s="39" t="s">
        <v>61</v>
      </c>
      <c r="H5" s="39" t="s">
        <v>62</v>
      </c>
      <c r="I5" s="39" t="s">
        <v>60</v>
      </c>
      <c r="J5" s="39">
        <v>899000099219</v>
      </c>
      <c r="K5" s="39" t="s">
        <v>61</v>
      </c>
      <c r="L5" s="39" t="s">
        <v>53</v>
      </c>
      <c r="M5" s="40">
        <v>46066</v>
      </c>
      <c r="N5" s="39" t="s">
        <v>64</v>
      </c>
      <c r="O5" s="42">
        <v>3</v>
      </c>
      <c r="P5" s="41">
        <v>0.1590435</v>
      </c>
      <c r="Q5" s="41">
        <v>5.3014499999999999E-2</v>
      </c>
      <c r="R5" s="41">
        <v>1.7671500000000003E-2</v>
      </c>
      <c r="S5" s="41">
        <v>8.8357500000000005E-2</v>
      </c>
    </row>
    <row r="6" spans="1:19" x14ac:dyDescent="0.25">
      <c r="A6" s="39" t="s">
        <v>54</v>
      </c>
      <c r="B6" s="39" t="s">
        <v>55</v>
      </c>
      <c r="C6" s="39" t="s">
        <v>49</v>
      </c>
      <c r="D6" s="39" t="s">
        <v>57</v>
      </c>
      <c r="E6" s="39" t="s">
        <v>56</v>
      </c>
      <c r="F6" s="39" t="s">
        <v>51</v>
      </c>
      <c r="G6" s="39" t="s">
        <v>61</v>
      </c>
      <c r="H6" s="39" t="s">
        <v>62</v>
      </c>
      <c r="I6" s="39" t="s">
        <v>60</v>
      </c>
      <c r="J6" s="39">
        <v>899000099219</v>
      </c>
      <c r="K6" s="39" t="s">
        <v>61</v>
      </c>
      <c r="L6" s="39" t="s">
        <v>53</v>
      </c>
      <c r="M6" s="40">
        <v>46066</v>
      </c>
      <c r="N6" s="39" t="s">
        <v>64</v>
      </c>
      <c r="O6" s="42">
        <v>13</v>
      </c>
      <c r="P6" s="41">
        <v>0.89160750000000011</v>
      </c>
      <c r="Q6" s="41">
        <v>0.29720250000000004</v>
      </c>
      <c r="R6" s="41">
        <v>9.9067500000000017E-2</v>
      </c>
      <c r="S6" s="41">
        <v>0.49533750000000004</v>
      </c>
    </row>
    <row r="7" spans="1:19" x14ac:dyDescent="0.25">
      <c r="A7" s="39" t="s">
        <v>54</v>
      </c>
      <c r="B7" s="39" t="s">
        <v>55</v>
      </c>
      <c r="C7" s="39" t="s">
        <v>49</v>
      </c>
      <c r="D7" s="39" t="s">
        <v>50</v>
      </c>
      <c r="E7" s="39" t="s">
        <v>56</v>
      </c>
      <c r="F7" s="39" t="s">
        <v>51</v>
      </c>
      <c r="G7" s="39" t="s">
        <v>58</v>
      </c>
      <c r="H7" s="39" t="s">
        <v>59</v>
      </c>
      <c r="I7" s="39" t="s">
        <v>60</v>
      </c>
      <c r="J7" s="39">
        <v>899000099424</v>
      </c>
      <c r="K7" s="39" t="s">
        <v>58</v>
      </c>
      <c r="L7" s="39" t="s">
        <v>53</v>
      </c>
      <c r="M7" s="40">
        <v>46079</v>
      </c>
      <c r="N7" s="39" t="s">
        <v>64</v>
      </c>
      <c r="O7" s="42">
        <v>6</v>
      </c>
      <c r="P7" s="41">
        <v>0.183141</v>
      </c>
      <c r="Q7" s="41">
        <v>6.1046999999999997E-2</v>
      </c>
      <c r="R7" s="41">
        <v>2.0349000000000003E-2</v>
      </c>
      <c r="S7" s="41">
        <v>0.101745</v>
      </c>
    </row>
    <row r="8" spans="1:19" x14ac:dyDescent="0.25">
      <c r="A8" s="39" t="s">
        <v>54</v>
      </c>
      <c r="B8" s="39" t="s">
        <v>55</v>
      </c>
      <c r="C8" s="39" t="s">
        <v>49</v>
      </c>
      <c r="D8" s="39" t="s">
        <v>50</v>
      </c>
      <c r="E8" s="39" t="s">
        <v>56</v>
      </c>
      <c r="F8" s="39" t="s">
        <v>51</v>
      </c>
      <c r="G8" s="39" t="s">
        <v>61</v>
      </c>
      <c r="H8" s="39" t="s">
        <v>62</v>
      </c>
      <c r="I8" s="39" t="s">
        <v>60</v>
      </c>
      <c r="J8" s="39">
        <v>899000099219</v>
      </c>
      <c r="K8" s="39" t="s">
        <v>61</v>
      </c>
      <c r="L8" s="39" t="s">
        <v>53</v>
      </c>
      <c r="M8" s="40">
        <v>46066</v>
      </c>
      <c r="N8" s="39" t="s">
        <v>64</v>
      </c>
      <c r="O8" s="42">
        <v>7</v>
      </c>
      <c r="P8" s="41">
        <v>9.1570499999999999E-2</v>
      </c>
      <c r="Q8" s="41">
        <v>3.0523499999999999E-2</v>
      </c>
      <c r="R8" s="41">
        <v>1.0174500000000001E-2</v>
      </c>
      <c r="S8" s="41">
        <v>5.0872500000000001E-2</v>
      </c>
    </row>
    <row r="9" spans="1:19" x14ac:dyDescent="0.25">
      <c r="A9" s="39" t="s">
        <v>54</v>
      </c>
      <c r="B9" s="39" t="s">
        <v>55</v>
      </c>
      <c r="C9" s="39" t="s">
        <v>49</v>
      </c>
      <c r="D9" s="39" t="s">
        <v>50</v>
      </c>
      <c r="E9" s="39" t="s">
        <v>56</v>
      </c>
      <c r="F9" s="39" t="s">
        <v>51</v>
      </c>
      <c r="G9" s="39" t="s">
        <v>58</v>
      </c>
      <c r="H9" s="39" t="s">
        <v>59</v>
      </c>
      <c r="I9" s="39" t="s">
        <v>60</v>
      </c>
      <c r="J9" s="39">
        <v>899000099424</v>
      </c>
      <c r="K9" s="39" t="s">
        <v>58</v>
      </c>
      <c r="L9" s="39" t="s">
        <v>63</v>
      </c>
      <c r="M9" s="40">
        <v>46079</v>
      </c>
      <c r="N9" s="39" t="s">
        <v>64</v>
      </c>
      <c r="O9" s="42">
        <v>1</v>
      </c>
      <c r="P9" s="41">
        <v>4.8195000000000009E-3</v>
      </c>
      <c r="Q9" s="41">
        <v>1.6065000000000001E-3</v>
      </c>
      <c r="R9" s="41">
        <v>5.3550000000000006E-4</v>
      </c>
      <c r="S9" s="41">
        <v>2.6775000000000002E-3</v>
      </c>
    </row>
    <row r="10" spans="1:19" x14ac:dyDescent="0.25">
      <c r="A10" s="39" t="s">
        <v>54</v>
      </c>
      <c r="B10" s="39" t="s">
        <v>55</v>
      </c>
      <c r="C10" s="39" t="s">
        <v>49</v>
      </c>
      <c r="D10" s="39" t="s">
        <v>57</v>
      </c>
      <c r="E10" s="39" t="s">
        <v>56</v>
      </c>
      <c r="F10" s="39" t="s">
        <v>51</v>
      </c>
      <c r="G10" s="39" t="s">
        <v>58</v>
      </c>
      <c r="H10" s="39" t="s">
        <v>59</v>
      </c>
      <c r="I10" s="39" t="s">
        <v>60</v>
      </c>
      <c r="J10" s="39">
        <v>899000099424</v>
      </c>
      <c r="K10" s="39" t="s">
        <v>58</v>
      </c>
      <c r="L10" s="39" t="s">
        <v>63</v>
      </c>
      <c r="M10" s="40">
        <v>46079</v>
      </c>
      <c r="N10" s="39" t="s">
        <v>64</v>
      </c>
      <c r="O10" s="42">
        <v>320</v>
      </c>
      <c r="P10" s="41">
        <v>1.6723665000000001</v>
      </c>
      <c r="Q10" s="41">
        <v>0.55745549999999999</v>
      </c>
      <c r="R10" s="41">
        <v>0.18581850000000003</v>
      </c>
      <c r="S10" s="41">
        <v>0.9290925000000001</v>
      </c>
    </row>
    <row r="11" spans="1:19" x14ac:dyDescent="0.25">
      <c r="A11" s="39" t="s">
        <v>54</v>
      </c>
      <c r="B11" s="39" t="s">
        <v>55</v>
      </c>
      <c r="C11" s="39" t="s">
        <v>49</v>
      </c>
      <c r="D11" s="39" t="s">
        <v>50</v>
      </c>
      <c r="E11" s="39" t="s">
        <v>56</v>
      </c>
      <c r="F11" s="39" t="s">
        <v>51</v>
      </c>
      <c r="G11" s="39" t="s">
        <v>61</v>
      </c>
      <c r="H11" s="39" t="s">
        <v>62</v>
      </c>
      <c r="I11" s="39" t="s">
        <v>60</v>
      </c>
      <c r="J11" s="39">
        <v>899000099219</v>
      </c>
      <c r="K11" s="39" t="s">
        <v>61</v>
      </c>
      <c r="L11" s="39" t="s">
        <v>53</v>
      </c>
      <c r="M11" s="40">
        <v>46066</v>
      </c>
      <c r="N11" s="39" t="s">
        <v>64</v>
      </c>
      <c r="O11" s="42">
        <v>10</v>
      </c>
      <c r="P11" s="41">
        <v>0.11084849999999999</v>
      </c>
      <c r="Q11" s="41">
        <v>3.6949499999999996E-2</v>
      </c>
      <c r="R11" s="41">
        <v>1.2316500000000001E-2</v>
      </c>
      <c r="S11" s="41">
        <v>6.1582499999999998E-2</v>
      </c>
    </row>
    <row r="12" spans="1:19" x14ac:dyDescent="0.25">
      <c r="A12" s="39" t="s">
        <v>54</v>
      </c>
      <c r="B12" s="39" t="s">
        <v>55</v>
      </c>
      <c r="C12" s="39" t="s">
        <v>49</v>
      </c>
      <c r="D12" s="39" t="s">
        <v>50</v>
      </c>
      <c r="E12" s="39" t="s">
        <v>56</v>
      </c>
      <c r="F12" s="39" t="s">
        <v>51</v>
      </c>
      <c r="G12" s="39" t="s">
        <v>61</v>
      </c>
      <c r="H12" s="39" t="s">
        <v>62</v>
      </c>
      <c r="I12" s="39" t="s">
        <v>60</v>
      </c>
      <c r="J12" s="39">
        <v>899000099219</v>
      </c>
      <c r="K12" s="39" t="s">
        <v>61</v>
      </c>
      <c r="L12" s="39" t="s">
        <v>53</v>
      </c>
      <c r="M12" s="40">
        <v>46066</v>
      </c>
      <c r="N12" s="39" t="s">
        <v>64</v>
      </c>
      <c r="O12" s="42">
        <v>2</v>
      </c>
      <c r="P12" s="41">
        <v>5.7833999999999997E-2</v>
      </c>
      <c r="Q12" s="41">
        <v>1.9278E-2</v>
      </c>
      <c r="R12" s="41">
        <v>6.4260000000000003E-3</v>
      </c>
      <c r="S12" s="41">
        <v>3.2129999999999999E-2</v>
      </c>
    </row>
    <row r="13" spans="1:19" x14ac:dyDescent="0.25">
      <c r="A13" s="39" t="s">
        <v>54</v>
      </c>
      <c r="B13" s="39" t="s">
        <v>55</v>
      </c>
      <c r="C13" s="39" t="s">
        <v>49</v>
      </c>
      <c r="D13" s="39" t="s">
        <v>50</v>
      </c>
      <c r="E13" s="39" t="s">
        <v>56</v>
      </c>
      <c r="F13" s="39" t="s">
        <v>51</v>
      </c>
      <c r="G13" s="39" t="s">
        <v>61</v>
      </c>
      <c r="H13" s="39" t="s">
        <v>62</v>
      </c>
      <c r="I13" s="39" t="s">
        <v>60</v>
      </c>
      <c r="J13" s="39">
        <v>899000099219</v>
      </c>
      <c r="K13" s="39" t="s">
        <v>61</v>
      </c>
      <c r="L13" s="39" t="s">
        <v>63</v>
      </c>
      <c r="M13" s="40">
        <v>46066</v>
      </c>
      <c r="N13" s="39" t="s">
        <v>64</v>
      </c>
      <c r="O13" s="42">
        <v>1</v>
      </c>
      <c r="P13" s="41">
        <v>3.8556000000000007E-2</v>
      </c>
      <c r="Q13" s="41">
        <v>1.2852000000000001E-2</v>
      </c>
      <c r="R13" s="41">
        <v>4.2840000000000005E-3</v>
      </c>
      <c r="S13" s="41">
        <v>2.1420000000000002E-2</v>
      </c>
    </row>
    <row r="14" spans="1:19" x14ac:dyDescent="0.25">
      <c r="A14" s="39" t="s">
        <v>54</v>
      </c>
      <c r="B14" s="39" t="s">
        <v>55</v>
      </c>
      <c r="C14" s="39" t="s">
        <v>49</v>
      </c>
      <c r="D14" s="39" t="s">
        <v>57</v>
      </c>
      <c r="E14" s="39" t="s">
        <v>56</v>
      </c>
      <c r="F14" s="39" t="s">
        <v>51</v>
      </c>
      <c r="G14" s="39" t="s">
        <v>58</v>
      </c>
      <c r="H14" s="39" t="s">
        <v>59</v>
      </c>
      <c r="I14" s="39" t="s">
        <v>60</v>
      </c>
      <c r="J14" s="39">
        <v>899000099424</v>
      </c>
      <c r="K14" s="39" t="s">
        <v>58</v>
      </c>
      <c r="L14" s="39" t="s">
        <v>63</v>
      </c>
      <c r="M14" s="40">
        <v>46079</v>
      </c>
      <c r="N14" s="39" t="s">
        <v>64</v>
      </c>
      <c r="O14" s="42">
        <v>2</v>
      </c>
      <c r="P14" s="41">
        <v>1.9278000000000003E-2</v>
      </c>
      <c r="Q14" s="41">
        <v>6.4260000000000003E-3</v>
      </c>
      <c r="R14" s="41">
        <v>2.1420000000000002E-3</v>
      </c>
      <c r="S14" s="41">
        <v>1.0710000000000001E-2</v>
      </c>
    </row>
    <row r="15" spans="1:19" x14ac:dyDescent="0.25">
      <c r="A15" s="39" t="s">
        <v>54</v>
      </c>
      <c r="B15" s="39" t="s">
        <v>55</v>
      </c>
      <c r="C15" s="39" t="s">
        <v>49</v>
      </c>
      <c r="D15" s="39" t="s">
        <v>50</v>
      </c>
      <c r="E15" s="39" t="s">
        <v>56</v>
      </c>
      <c r="F15" s="39" t="s">
        <v>51</v>
      </c>
      <c r="G15" s="39" t="s">
        <v>61</v>
      </c>
      <c r="H15" s="39" t="s">
        <v>62</v>
      </c>
      <c r="I15" s="39" t="s">
        <v>60</v>
      </c>
      <c r="J15" s="39">
        <v>899000099219</v>
      </c>
      <c r="K15" s="39" t="s">
        <v>61</v>
      </c>
      <c r="L15" s="39" t="s">
        <v>53</v>
      </c>
      <c r="M15" s="40">
        <v>46066</v>
      </c>
      <c r="N15" s="39" t="s">
        <v>64</v>
      </c>
      <c r="O15" s="42">
        <v>2</v>
      </c>
      <c r="P15" s="41">
        <v>0</v>
      </c>
      <c r="Q15" s="41">
        <v>0</v>
      </c>
      <c r="R15" s="41">
        <v>0</v>
      </c>
      <c r="S15" s="41">
        <v>0</v>
      </c>
    </row>
    <row r="16" spans="1:19" x14ac:dyDescent="0.25">
      <c r="A16" s="39" t="s">
        <v>54</v>
      </c>
      <c r="B16" s="39" t="s">
        <v>55</v>
      </c>
      <c r="C16" s="39" t="s">
        <v>49</v>
      </c>
      <c r="D16" s="39" t="s">
        <v>57</v>
      </c>
      <c r="E16" s="39" t="s">
        <v>56</v>
      </c>
      <c r="F16" s="39" t="s">
        <v>51</v>
      </c>
      <c r="G16" s="39" t="s">
        <v>61</v>
      </c>
      <c r="H16" s="39" t="s">
        <v>62</v>
      </c>
      <c r="I16" s="39" t="s">
        <v>60</v>
      </c>
      <c r="J16" s="39">
        <v>899000099219</v>
      </c>
      <c r="K16" s="39" t="s">
        <v>61</v>
      </c>
      <c r="L16" s="39" t="s">
        <v>53</v>
      </c>
      <c r="M16" s="40">
        <v>46066</v>
      </c>
      <c r="N16" s="39" t="s">
        <v>64</v>
      </c>
      <c r="O16" s="42">
        <v>458</v>
      </c>
      <c r="P16" s="41">
        <v>2.3904719999999999</v>
      </c>
      <c r="Q16" s="41">
        <v>0.79682400000000009</v>
      </c>
      <c r="R16" s="41">
        <v>0.26560800000000001</v>
      </c>
      <c r="S16" s="41">
        <v>1.3280400000000001</v>
      </c>
    </row>
    <row r="17" spans="1:19" x14ac:dyDescent="0.25">
      <c r="A17" s="39" t="s">
        <v>54</v>
      </c>
      <c r="B17" s="39" t="s">
        <v>55</v>
      </c>
      <c r="C17" s="39" t="s">
        <v>49</v>
      </c>
      <c r="D17" s="39" t="s">
        <v>57</v>
      </c>
      <c r="E17" s="39" t="s">
        <v>56</v>
      </c>
      <c r="F17" s="39" t="s">
        <v>51</v>
      </c>
      <c r="G17" s="39" t="s">
        <v>58</v>
      </c>
      <c r="H17" s="39" t="s">
        <v>59</v>
      </c>
      <c r="I17" s="39" t="s">
        <v>60</v>
      </c>
      <c r="J17" s="39">
        <v>899000099424</v>
      </c>
      <c r="K17" s="39" t="s">
        <v>58</v>
      </c>
      <c r="L17" s="39" t="s">
        <v>53</v>
      </c>
      <c r="M17" s="40">
        <v>46079</v>
      </c>
      <c r="N17" s="39" t="s">
        <v>64</v>
      </c>
      <c r="O17" s="42">
        <v>1</v>
      </c>
      <c r="P17" s="41">
        <v>0</v>
      </c>
      <c r="Q17" s="41">
        <v>0</v>
      </c>
      <c r="R17" s="41">
        <v>0</v>
      </c>
      <c r="S17" s="41">
        <v>0</v>
      </c>
    </row>
    <row r="18" spans="1:19" x14ac:dyDescent="0.25">
      <c r="A18" s="39" t="s">
        <v>54</v>
      </c>
      <c r="B18" s="39" t="s">
        <v>55</v>
      </c>
      <c r="C18" s="39" t="s">
        <v>49</v>
      </c>
      <c r="D18" s="39" t="s">
        <v>50</v>
      </c>
      <c r="E18" s="39" t="s">
        <v>56</v>
      </c>
      <c r="F18" s="39" t="s">
        <v>51</v>
      </c>
      <c r="G18" s="39" t="s">
        <v>58</v>
      </c>
      <c r="H18" s="39" t="s">
        <v>59</v>
      </c>
      <c r="I18" s="39" t="s">
        <v>60</v>
      </c>
      <c r="J18" s="39">
        <v>899000099424</v>
      </c>
      <c r="K18" s="39" t="s">
        <v>58</v>
      </c>
      <c r="L18" s="39" t="s">
        <v>53</v>
      </c>
      <c r="M18" s="40">
        <v>46079</v>
      </c>
      <c r="N18" s="39" t="s">
        <v>64</v>
      </c>
      <c r="O18" s="42">
        <v>3</v>
      </c>
      <c r="P18" s="41">
        <v>0.21205800000000002</v>
      </c>
      <c r="Q18" s="41">
        <v>7.0685999999999999E-2</v>
      </c>
      <c r="R18" s="41">
        <v>2.3562000000000003E-2</v>
      </c>
      <c r="S18" s="41">
        <v>0.11781000000000001</v>
      </c>
    </row>
    <row r="19" spans="1:19" x14ac:dyDescent="0.25">
      <c r="A19" s="39" t="s">
        <v>54</v>
      </c>
      <c r="B19" s="39" t="s">
        <v>55</v>
      </c>
      <c r="C19" s="39" t="s">
        <v>49</v>
      </c>
      <c r="D19" s="39" t="s">
        <v>50</v>
      </c>
      <c r="E19" s="39" t="s">
        <v>56</v>
      </c>
      <c r="F19" s="39" t="s">
        <v>51</v>
      </c>
      <c r="G19" s="39" t="s">
        <v>61</v>
      </c>
      <c r="H19" s="39" t="s">
        <v>62</v>
      </c>
      <c r="I19" s="39" t="s">
        <v>60</v>
      </c>
      <c r="J19" s="39">
        <v>899000099219</v>
      </c>
      <c r="K19" s="39" t="s">
        <v>61</v>
      </c>
      <c r="L19" s="39" t="s">
        <v>53</v>
      </c>
      <c r="M19" s="40">
        <v>46066</v>
      </c>
      <c r="N19" s="39" t="s">
        <v>64</v>
      </c>
      <c r="O19" s="42">
        <v>1546</v>
      </c>
      <c r="P19" s="41">
        <v>7.108762500000001</v>
      </c>
      <c r="Q19" s="41">
        <v>2.3695875000000002</v>
      </c>
      <c r="R19" s="41">
        <v>0.78986250000000013</v>
      </c>
      <c r="S19" s="41">
        <v>3.9493125000000004</v>
      </c>
    </row>
    <row r="20" spans="1:19" x14ac:dyDescent="0.25">
      <c r="A20" s="39" t="s">
        <v>54</v>
      </c>
      <c r="B20" s="39" t="s">
        <v>55</v>
      </c>
      <c r="C20" s="39" t="s">
        <v>49</v>
      </c>
      <c r="D20" s="39" t="s">
        <v>50</v>
      </c>
      <c r="E20" s="39" t="s">
        <v>56</v>
      </c>
      <c r="F20" s="39" t="s">
        <v>51</v>
      </c>
      <c r="G20" s="39" t="s">
        <v>58</v>
      </c>
      <c r="H20" s="39" t="s">
        <v>59</v>
      </c>
      <c r="I20" s="39" t="s">
        <v>60</v>
      </c>
      <c r="J20" s="39">
        <v>899000099424</v>
      </c>
      <c r="K20" s="39" t="s">
        <v>58</v>
      </c>
      <c r="L20" s="39" t="s">
        <v>63</v>
      </c>
      <c r="M20" s="40">
        <v>46079</v>
      </c>
      <c r="N20" s="39" t="s">
        <v>64</v>
      </c>
      <c r="O20" s="42">
        <v>856</v>
      </c>
      <c r="P20" s="41">
        <v>3.9327119999999995</v>
      </c>
      <c r="Q20" s="41">
        <v>1.3109039999999998</v>
      </c>
      <c r="R20" s="41">
        <v>0.43696800000000002</v>
      </c>
      <c r="S20" s="41">
        <v>2.1848399999999999</v>
      </c>
    </row>
    <row r="21" spans="1:19" x14ac:dyDescent="0.25">
      <c r="A21" s="39" t="s">
        <v>54</v>
      </c>
      <c r="B21" s="39" t="s">
        <v>55</v>
      </c>
      <c r="C21" s="39" t="s">
        <v>49</v>
      </c>
      <c r="D21" s="39" t="s">
        <v>50</v>
      </c>
      <c r="E21" s="39" t="s">
        <v>56</v>
      </c>
      <c r="F21" s="39" t="s">
        <v>51</v>
      </c>
      <c r="G21" s="39" t="s">
        <v>58</v>
      </c>
      <c r="H21" s="39" t="s">
        <v>59</v>
      </c>
      <c r="I21" s="39" t="s">
        <v>60</v>
      </c>
      <c r="J21" s="39">
        <v>899000099424</v>
      </c>
      <c r="K21" s="39" t="s">
        <v>58</v>
      </c>
      <c r="L21" s="39" t="s">
        <v>53</v>
      </c>
      <c r="M21" s="40">
        <v>46079</v>
      </c>
      <c r="N21" s="39" t="s">
        <v>64</v>
      </c>
      <c r="O21" s="42">
        <v>1</v>
      </c>
      <c r="P21" s="41">
        <v>2.8916999999999998E-2</v>
      </c>
      <c r="Q21" s="41">
        <v>9.639E-3</v>
      </c>
      <c r="R21" s="41">
        <v>3.2130000000000001E-3</v>
      </c>
      <c r="S21" s="41">
        <v>1.6064999999999999E-2</v>
      </c>
    </row>
    <row r="22" spans="1:19" x14ac:dyDescent="0.25">
      <c r="A22" s="39" t="s">
        <v>54</v>
      </c>
      <c r="B22" s="39" t="s">
        <v>55</v>
      </c>
      <c r="C22" s="39" t="s">
        <v>49</v>
      </c>
      <c r="D22" s="39" t="s">
        <v>50</v>
      </c>
      <c r="E22" s="39" t="s">
        <v>56</v>
      </c>
      <c r="F22" s="39" t="s">
        <v>51</v>
      </c>
      <c r="G22" s="39" t="s">
        <v>61</v>
      </c>
      <c r="H22" s="39" t="s">
        <v>62</v>
      </c>
      <c r="I22" s="39" t="s">
        <v>60</v>
      </c>
      <c r="J22" s="39">
        <v>899000099219</v>
      </c>
      <c r="K22" s="39" t="s">
        <v>61</v>
      </c>
      <c r="L22" s="39" t="s">
        <v>63</v>
      </c>
      <c r="M22" s="40">
        <v>46066</v>
      </c>
      <c r="N22" s="39" t="s">
        <v>64</v>
      </c>
      <c r="O22" s="42">
        <v>4</v>
      </c>
      <c r="P22" s="41">
        <v>0.28435049999999995</v>
      </c>
      <c r="Q22" s="41">
        <v>9.4783499999999993E-2</v>
      </c>
      <c r="R22" s="41">
        <v>3.1594499999999998E-2</v>
      </c>
      <c r="S22" s="41">
        <v>0.15797249999999999</v>
      </c>
    </row>
    <row r="23" spans="1:19" x14ac:dyDescent="0.25">
      <c r="A23" s="39" t="s">
        <v>54</v>
      </c>
      <c r="B23" s="39" t="s">
        <v>55</v>
      </c>
      <c r="C23" s="39" t="s">
        <v>49</v>
      </c>
      <c r="D23" s="39" t="s">
        <v>57</v>
      </c>
      <c r="E23" s="39" t="s">
        <v>56</v>
      </c>
      <c r="F23" s="39" t="s">
        <v>51</v>
      </c>
      <c r="G23" s="39" t="s">
        <v>58</v>
      </c>
      <c r="H23" s="39" t="s">
        <v>59</v>
      </c>
      <c r="I23" s="39" t="s">
        <v>60</v>
      </c>
      <c r="J23" s="39">
        <v>899000099424</v>
      </c>
      <c r="K23" s="39" t="s">
        <v>58</v>
      </c>
      <c r="L23" s="39" t="s">
        <v>63</v>
      </c>
      <c r="M23" s="40">
        <v>46079</v>
      </c>
      <c r="N23" s="39" t="s">
        <v>64</v>
      </c>
      <c r="O23" s="42">
        <v>2</v>
      </c>
      <c r="P23" s="41">
        <v>0.10120949999999999</v>
      </c>
      <c r="Q23" s="41">
        <v>3.3736499999999996E-2</v>
      </c>
      <c r="R23" s="41">
        <v>1.12455E-2</v>
      </c>
      <c r="S23" s="41">
        <v>5.62275E-2</v>
      </c>
    </row>
    <row r="24" spans="1:19" x14ac:dyDescent="0.25">
      <c r="A24" s="39" t="s">
        <v>54</v>
      </c>
      <c r="B24" s="39" t="s">
        <v>55</v>
      </c>
      <c r="C24" s="39" t="s">
        <v>49</v>
      </c>
      <c r="D24" s="39" t="s">
        <v>57</v>
      </c>
      <c r="E24" s="39" t="s">
        <v>56</v>
      </c>
      <c r="F24" s="39" t="s">
        <v>51</v>
      </c>
      <c r="G24" s="39" t="s">
        <v>61</v>
      </c>
      <c r="H24" s="39" t="s">
        <v>62</v>
      </c>
      <c r="I24" s="39" t="s">
        <v>60</v>
      </c>
      <c r="J24" s="39">
        <v>899000099219</v>
      </c>
      <c r="K24" s="39" t="s">
        <v>61</v>
      </c>
      <c r="L24" s="39" t="s">
        <v>63</v>
      </c>
      <c r="M24" s="40">
        <v>46066</v>
      </c>
      <c r="N24" s="39" t="s">
        <v>64</v>
      </c>
      <c r="O24" s="42">
        <v>27</v>
      </c>
      <c r="P24" s="41">
        <v>0.13494600000000001</v>
      </c>
      <c r="Q24" s="41">
        <v>4.4982000000000001E-2</v>
      </c>
      <c r="R24" s="41">
        <v>1.4994000000000002E-2</v>
      </c>
      <c r="S24" s="41">
        <v>7.4970000000000009E-2</v>
      </c>
    </row>
    <row r="25" spans="1:19" x14ac:dyDescent="0.25">
      <c r="A25" s="39" t="s">
        <v>54</v>
      </c>
      <c r="B25" s="39" t="s">
        <v>55</v>
      </c>
      <c r="C25" s="39" t="s">
        <v>49</v>
      </c>
      <c r="D25" s="39" t="s">
        <v>50</v>
      </c>
      <c r="E25" s="39" t="s">
        <v>56</v>
      </c>
      <c r="F25" s="39" t="s">
        <v>51</v>
      </c>
      <c r="G25" s="39" t="s">
        <v>61</v>
      </c>
      <c r="H25" s="39" t="s">
        <v>62</v>
      </c>
      <c r="I25" s="39" t="s">
        <v>60</v>
      </c>
      <c r="J25" s="39">
        <v>899000099219</v>
      </c>
      <c r="K25" s="39" t="s">
        <v>61</v>
      </c>
      <c r="L25" s="39" t="s">
        <v>63</v>
      </c>
      <c r="M25" s="40">
        <v>46066</v>
      </c>
      <c r="N25" s="39" t="s">
        <v>64</v>
      </c>
      <c r="O25" s="42">
        <v>1</v>
      </c>
      <c r="P25" s="41">
        <v>2.8916999999999998E-2</v>
      </c>
      <c r="Q25" s="41">
        <v>9.639E-3</v>
      </c>
      <c r="R25" s="41">
        <v>3.2130000000000001E-3</v>
      </c>
      <c r="S25" s="41">
        <v>1.6064999999999999E-2</v>
      </c>
    </row>
    <row r="26" spans="1:19" x14ac:dyDescent="0.25">
      <c r="A26" s="39" t="s">
        <v>54</v>
      </c>
      <c r="B26" s="39" t="s">
        <v>55</v>
      </c>
      <c r="C26" s="39" t="s">
        <v>49</v>
      </c>
      <c r="D26" s="39" t="s">
        <v>57</v>
      </c>
      <c r="E26" s="39" t="s">
        <v>56</v>
      </c>
      <c r="F26" s="39" t="s">
        <v>51</v>
      </c>
      <c r="G26" s="39" t="s">
        <v>58</v>
      </c>
      <c r="H26" s="39" t="s">
        <v>59</v>
      </c>
      <c r="I26" s="39" t="s">
        <v>60</v>
      </c>
      <c r="J26" s="39">
        <v>899000099424</v>
      </c>
      <c r="K26" s="39" t="s">
        <v>58</v>
      </c>
      <c r="L26" s="39" t="s">
        <v>53</v>
      </c>
      <c r="M26" s="40">
        <v>46079</v>
      </c>
      <c r="N26" s="39" t="s">
        <v>64</v>
      </c>
      <c r="O26" s="42">
        <v>7</v>
      </c>
      <c r="P26" s="41">
        <v>3.3736500000000003E-2</v>
      </c>
      <c r="Q26" s="41">
        <v>1.12455E-2</v>
      </c>
      <c r="R26" s="41">
        <v>3.7485000000000005E-3</v>
      </c>
      <c r="S26" s="41">
        <v>1.8742500000000002E-2</v>
      </c>
    </row>
    <row r="27" spans="1:19" x14ac:dyDescent="0.25">
      <c r="A27" s="39" t="s">
        <v>54</v>
      </c>
      <c r="B27" s="39" t="s">
        <v>55</v>
      </c>
      <c r="C27" s="39" t="s">
        <v>49</v>
      </c>
      <c r="D27" s="39" t="s">
        <v>57</v>
      </c>
      <c r="E27" s="39" t="s">
        <v>56</v>
      </c>
      <c r="F27" s="39" t="s">
        <v>51</v>
      </c>
      <c r="G27" s="39" t="s">
        <v>58</v>
      </c>
      <c r="H27" s="39" t="s">
        <v>59</v>
      </c>
      <c r="I27" s="39" t="s">
        <v>60</v>
      </c>
      <c r="J27" s="39">
        <v>899000099424</v>
      </c>
      <c r="K27" s="39" t="s">
        <v>58</v>
      </c>
      <c r="L27" s="39" t="s">
        <v>53</v>
      </c>
      <c r="M27" s="40">
        <v>46079</v>
      </c>
      <c r="N27" s="39" t="s">
        <v>64</v>
      </c>
      <c r="O27" s="42">
        <v>1</v>
      </c>
      <c r="P27" s="41">
        <v>1.9278000000000003E-2</v>
      </c>
      <c r="Q27" s="41">
        <v>6.4260000000000003E-3</v>
      </c>
      <c r="R27" s="41">
        <v>2.1420000000000002E-3</v>
      </c>
      <c r="S27" s="41">
        <v>1.0710000000000001E-2</v>
      </c>
    </row>
    <row r="28" spans="1:19" x14ac:dyDescent="0.25">
      <c r="A28" s="39" t="s">
        <v>54</v>
      </c>
      <c r="B28" s="39" t="s">
        <v>55</v>
      </c>
      <c r="C28" s="39" t="s">
        <v>49</v>
      </c>
      <c r="D28" s="39" t="s">
        <v>57</v>
      </c>
      <c r="E28" s="39" t="s">
        <v>56</v>
      </c>
      <c r="F28" s="39" t="s">
        <v>51</v>
      </c>
      <c r="G28" s="39" t="s">
        <v>58</v>
      </c>
      <c r="H28" s="39" t="s">
        <v>59</v>
      </c>
      <c r="I28" s="39" t="s">
        <v>60</v>
      </c>
      <c r="J28" s="39">
        <v>899000099424</v>
      </c>
      <c r="K28" s="39" t="s">
        <v>58</v>
      </c>
      <c r="L28" s="39" t="s">
        <v>63</v>
      </c>
      <c r="M28" s="40">
        <v>46079</v>
      </c>
      <c r="N28" s="39" t="s">
        <v>52</v>
      </c>
      <c r="O28" s="42">
        <v>1</v>
      </c>
      <c r="P28" s="41">
        <v>4.6845540000000003</v>
      </c>
      <c r="Q28" s="41">
        <v>1.5615180000000002</v>
      </c>
      <c r="R28" s="41">
        <v>0.52050600000000002</v>
      </c>
      <c r="S28" s="41">
        <v>2.6025300000000002</v>
      </c>
    </row>
    <row r="29" spans="1:19" x14ac:dyDescent="0.25">
      <c r="A29" s="39" t="s">
        <v>54</v>
      </c>
      <c r="B29" s="39" t="s">
        <v>55</v>
      </c>
      <c r="C29" s="39" t="s">
        <v>49</v>
      </c>
      <c r="D29" s="39" t="s">
        <v>50</v>
      </c>
      <c r="E29" s="39" t="s">
        <v>56</v>
      </c>
      <c r="F29" s="39" t="s">
        <v>51</v>
      </c>
      <c r="G29" s="39" t="s">
        <v>61</v>
      </c>
      <c r="H29" s="39" t="s">
        <v>62</v>
      </c>
      <c r="I29" s="39" t="s">
        <v>60</v>
      </c>
      <c r="J29" s="39">
        <v>899000099219</v>
      </c>
      <c r="K29" s="39" t="s">
        <v>61</v>
      </c>
      <c r="L29" s="39" t="s">
        <v>63</v>
      </c>
      <c r="M29" s="40">
        <v>46066</v>
      </c>
      <c r="N29" s="39" t="s">
        <v>64</v>
      </c>
      <c r="O29" s="42">
        <v>1</v>
      </c>
      <c r="P29" s="41">
        <v>4.8195000000000009E-3</v>
      </c>
      <c r="Q29" s="41">
        <v>1.6065000000000001E-3</v>
      </c>
      <c r="R29" s="41">
        <v>5.3550000000000006E-4</v>
      </c>
      <c r="S29" s="41">
        <v>2.6775000000000002E-3</v>
      </c>
    </row>
    <row r="30" spans="1:19" x14ac:dyDescent="0.25">
      <c r="A30" s="39" t="s">
        <v>54</v>
      </c>
      <c r="B30" s="39" t="s">
        <v>55</v>
      </c>
      <c r="C30" s="39" t="s">
        <v>49</v>
      </c>
      <c r="D30" s="39" t="s">
        <v>50</v>
      </c>
      <c r="E30" s="39" t="s">
        <v>56</v>
      </c>
      <c r="F30" s="39" t="s">
        <v>51</v>
      </c>
      <c r="G30" s="39" t="s">
        <v>61</v>
      </c>
      <c r="H30" s="39" t="s">
        <v>62</v>
      </c>
      <c r="I30" s="39" t="s">
        <v>60</v>
      </c>
      <c r="J30" s="39">
        <v>899000099219</v>
      </c>
      <c r="K30" s="39" t="s">
        <v>61</v>
      </c>
      <c r="L30" s="39" t="s">
        <v>63</v>
      </c>
      <c r="M30" s="40">
        <v>46066</v>
      </c>
      <c r="N30" s="39" t="s">
        <v>64</v>
      </c>
      <c r="O30" s="42">
        <v>76</v>
      </c>
      <c r="P30" s="41">
        <v>0.34700399999999998</v>
      </c>
      <c r="Q30" s="41">
        <v>0.11566799999999999</v>
      </c>
      <c r="R30" s="41">
        <v>3.8556000000000007E-2</v>
      </c>
      <c r="S30" s="41">
        <v>0.19278000000000001</v>
      </c>
    </row>
    <row r="31" spans="1:19" x14ac:dyDescent="0.25">
      <c r="A31" s="39" t="s">
        <v>54</v>
      </c>
      <c r="B31" s="39" t="s">
        <v>55</v>
      </c>
      <c r="C31" s="39" t="s">
        <v>49</v>
      </c>
      <c r="D31" s="39" t="s">
        <v>50</v>
      </c>
      <c r="E31" s="39" t="s">
        <v>56</v>
      </c>
      <c r="F31" s="39" t="s">
        <v>51</v>
      </c>
      <c r="G31" s="39" t="s">
        <v>58</v>
      </c>
      <c r="H31" s="39" t="s">
        <v>59</v>
      </c>
      <c r="I31" s="39" t="s">
        <v>60</v>
      </c>
      <c r="J31" s="39">
        <v>899000099424</v>
      </c>
      <c r="K31" s="39" t="s">
        <v>58</v>
      </c>
      <c r="L31" s="39" t="s">
        <v>53</v>
      </c>
      <c r="M31" s="40">
        <v>46079</v>
      </c>
      <c r="N31" s="39" t="s">
        <v>64</v>
      </c>
      <c r="O31" s="42">
        <v>3</v>
      </c>
      <c r="P31" s="41">
        <v>8.1931500000000018E-2</v>
      </c>
      <c r="Q31" s="41">
        <v>2.7310500000000005E-2</v>
      </c>
      <c r="R31" s="41">
        <v>9.1035000000000022E-3</v>
      </c>
      <c r="S31" s="41">
        <v>4.5517500000000009E-2</v>
      </c>
    </row>
    <row r="32" spans="1:19" x14ac:dyDescent="0.25">
      <c r="A32" s="39" t="s">
        <v>54</v>
      </c>
      <c r="B32" s="39" t="s">
        <v>55</v>
      </c>
      <c r="C32" s="39" t="s">
        <v>49</v>
      </c>
      <c r="D32" s="39" t="s">
        <v>50</v>
      </c>
      <c r="E32" s="39" t="s">
        <v>56</v>
      </c>
      <c r="F32" s="39" t="s">
        <v>51</v>
      </c>
      <c r="G32" s="39" t="s">
        <v>61</v>
      </c>
      <c r="H32" s="39" t="s">
        <v>62</v>
      </c>
      <c r="I32" s="39" t="s">
        <v>60</v>
      </c>
      <c r="J32" s="39">
        <v>899000099219</v>
      </c>
      <c r="K32" s="39" t="s">
        <v>61</v>
      </c>
      <c r="L32" s="39" t="s">
        <v>53</v>
      </c>
      <c r="M32" s="40">
        <v>46066</v>
      </c>
      <c r="N32" s="39" t="s">
        <v>64</v>
      </c>
      <c r="O32" s="42">
        <v>1</v>
      </c>
      <c r="P32" s="41">
        <v>4.3375499999999997E-2</v>
      </c>
      <c r="Q32" s="41">
        <v>1.4458499999999999E-2</v>
      </c>
      <c r="R32" s="41">
        <v>4.8195000000000009E-3</v>
      </c>
      <c r="S32" s="41">
        <v>2.4097500000000001E-2</v>
      </c>
    </row>
    <row r="33" spans="1:19" x14ac:dyDescent="0.25">
      <c r="A33" s="39" t="s">
        <v>54</v>
      </c>
      <c r="B33" s="39" t="s">
        <v>55</v>
      </c>
      <c r="C33" s="39" t="s">
        <v>49</v>
      </c>
      <c r="D33" s="39" t="s">
        <v>50</v>
      </c>
      <c r="E33" s="39" t="s">
        <v>56</v>
      </c>
      <c r="F33" s="39" t="s">
        <v>51</v>
      </c>
      <c r="G33" s="39" t="s">
        <v>58</v>
      </c>
      <c r="H33" s="39" t="s">
        <v>59</v>
      </c>
      <c r="I33" s="39" t="s">
        <v>60</v>
      </c>
      <c r="J33" s="39">
        <v>899000099424</v>
      </c>
      <c r="K33" s="39" t="s">
        <v>58</v>
      </c>
      <c r="L33" s="39" t="s">
        <v>53</v>
      </c>
      <c r="M33" s="40">
        <v>46079</v>
      </c>
      <c r="N33" s="39" t="s">
        <v>64</v>
      </c>
      <c r="O33" s="42">
        <v>204</v>
      </c>
      <c r="P33" s="41">
        <v>0.93498300000000012</v>
      </c>
      <c r="Q33" s="41">
        <v>0.31166100000000002</v>
      </c>
      <c r="R33" s="41">
        <v>0.10388700000000002</v>
      </c>
      <c r="S33" s="41">
        <v>0.51943500000000009</v>
      </c>
    </row>
    <row r="34" spans="1:19" x14ac:dyDescent="0.25">
      <c r="A34" s="39" t="s">
        <v>54</v>
      </c>
      <c r="B34" s="39" t="s">
        <v>55</v>
      </c>
      <c r="C34" s="39" t="s">
        <v>49</v>
      </c>
      <c r="D34" s="39" t="s">
        <v>57</v>
      </c>
      <c r="E34" s="39" t="s">
        <v>56</v>
      </c>
      <c r="F34" s="39" t="s">
        <v>51</v>
      </c>
      <c r="G34" s="39" t="s">
        <v>61</v>
      </c>
      <c r="H34" s="39" t="s">
        <v>62</v>
      </c>
      <c r="I34" s="39" t="s">
        <v>60</v>
      </c>
      <c r="J34" s="39">
        <v>899000099219</v>
      </c>
      <c r="K34" s="39" t="s">
        <v>61</v>
      </c>
      <c r="L34" s="39" t="s">
        <v>53</v>
      </c>
      <c r="M34" s="40">
        <v>46066</v>
      </c>
      <c r="N34" s="39" t="s">
        <v>64</v>
      </c>
      <c r="O34" s="42">
        <v>4</v>
      </c>
      <c r="P34" s="41">
        <v>4.3375499999999997E-2</v>
      </c>
      <c r="Q34" s="41">
        <v>1.4458499999999999E-2</v>
      </c>
      <c r="R34" s="41">
        <v>4.8195000000000009E-3</v>
      </c>
      <c r="S34" s="41">
        <v>2.4097500000000001E-2</v>
      </c>
    </row>
    <row r="35" spans="1:19" x14ac:dyDescent="0.25">
      <c r="A35" s="39" t="s">
        <v>54</v>
      </c>
      <c r="B35" s="39" t="s">
        <v>55</v>
      </c>
      <c r="C35" s="39" t="s">
        <v>49</v>
      </c>
      <c r="D35" s="39" t="s">
        <v>50</v>
      </c>
      <c r="E35" s="39" t="s">
        <v>56</v>
      </c>
      <c r="F35" s="39" t="s">
        <v>51</v>
      </c>
      <c r="G35" s="39" t="s">
        <v>61</v>
      </c>
      <c r="H35" s="39" t="s">
        <v>62</v>
      </c>
      <c r="I35" s="39" t="s">
        <v>60</v>
      </c>
      <c r="J35" s="39">
        <v>899000099219</v>
      </c>
      <c r="K35" s="39" t="s">
        <v>61</v>
      </c>
      <c r="L35" s="39" t="s">
        <v>53</v>
      </c>
      <c r="M35" s="40">
        <v>46066</v>
      </c>
      <c r="N35" s="39" t="s">
        <v>64</v>
      </c>
      <c r="O35" s="42">
        <v>27</v>
      </c>
      <c r="P35" s="41">
        <v>1.9326195000000002</v>
      </c>
      <c r="Q35" s="41">
        <v>0.64420650000000002</v>
      </c>
      <c r="R35" s="41">
        <v>0.21473550000000002</v>
      </c>
      <c r="S35" s="41">
        <v>1.0736775000000001</v>
      </c>
    </row>
    <row r="36" spans="1:19" x14ac:dyDescent="0.25">
      <c r="A36" s="39" t="s">
        <v>54</v>
      </c>
      <c r="B36" s="39" t="s">
        <v>55</v>
      </c>
      <c r="C36" s="39" t="s">
        <v>49</v>
      </c>
      <c r="D36" s="39" t="s">
        <v>50</v>
      </c>
      <c r="E36" s="39" t="s">
        <v>56</v>
      </c>
      <c r="F36" s="39" t="s">
        <v>51</v>
      </c>
      <c r="G36" s="39" t="s">
        <v>58</v>
      </c>
      <c r="H36" s="39" t="s">
        <v>59</v>
      </c>
      <c r="I36" s="39" t="s">
        <v>60</v>
      </c>
      <c r="J36" s="39">
        <v>899000099424</v>
      </c>
      <c r="K36" s="39" t="s">
        <v>58</v>
      </c>
      <c r="L36" s="39" t="s">
        <v>53</v>
      </c>
      <c r="M36" s="40">
        <v>46079</v>
      </c>
      <c r="N36" s="39" t="s">
        <v>64</v>
      </c>
      <c r="O36" s="42">
        <v>8</v>
      </c>
      <c r="P36" s="41">
        <v>0.31326750000000003</v>
      </c>
      <c r="Q36" s="41">
        <v>0.1044225</v>
      </c>
      <c r="R36" s="41">
        <v>3.4807500000000005E-2</v>
      </c>
      <c r="S36" s="41">
        <v>0.17403750000000001</v>
      </c>
    </row>
    <row r="37" spans="1:19" x14ac:dyDescent="0.25">
      <c r="A37" s="39" t="s">
        <v>54</v>
      </c>
      <c r="B37" s="39" t="s">
        <v>55</v>
      </c>
      <c r="C37" s="39" t="s">
        <v>49</v>
      </c>
      <c r="D37" s="39" t="s">
        <v>50</v>
      </c>
      <c r="E37" s="39" t="s">
        <v>56</v>
      </c>
      <c r="F37" s="39" t="s">
        <v>51</v>
      </c>
      <c r="G37" s="39" t="s">
        <v>58</v>
      </c>
      <c r="H37" s="39" t="s">
        <v>59</v>
      </c>
      <c r="I37" s="39" t="s">
        <v>60</v>
      </c>
      <c r="J37" s="39">
        <v>899000099424</v>
      </c>
      <c r="K37" s="39" t="s">
        <v>58</v>
      </c>
      <c r="L37" s="39" t="s">
        <v>63</v>
      </c>
      <c r="M37" s="40">
        <v>46079</v>
      </c>
      <c r="N37" s="39" t="s">
        <v>64</v>
      </c>
      <c r="O37" s="42">
        <v>2</v>
      </c>
      <c r="P37" s="41">
        <v>0.13976549999999999</v>
      </c>
      <c r="Q37" s="41">
        <v>4.6588499999999998E-2</v>
      </c>
      <c r="R37" s="41">
        <v>1.55295E-2</v>
      </c>
      <c r="S37" s="41">
        <v>7.7647499999999994E-2</v>
      </c>
    </row>
    <row r="38" spans="1:19" x14ac:dyDescent="0.25">
      <c r="A38" s="39" t="s">
        <v>54</v>
      </c>
      <c r="B38" s="39" t="s">
        <v>55</v>
      </c>
      <c r="C38" s="39" t="s">
        <v>49</v>
      </c>
      <c r="D38" s="39" t="s">
        <v>57</v>
      </c>
      <c r="E38" s="39" t="s">
        <v>56</v>
      </c>
      <c r="F38" s="39" t="s">
        <v>51</v>
      </c>
      <c r="G38" s="39" t="s">
        <v>61</v>
      </c>
      <c r="H38" s="39" t="s">
        <v>62</v>
      </c>
      <c r="I38" s="39" t="s">
        <v>60</v>
      </c>
      <c r="J38" s="39">
        <v>899000099219</v>
      </c>
      <c r="K38" s="39" t="s">
        <v>61</v>
      </c>
      <c r="L38" s="39" t="s">
        <v>53</v>
      </c>
      <c r="M38" s="40">
        <v>46066</v>
      </c>
      <c r="N38" s="39" t="s">
        <v>64</v>
      </c>
      <c r="O38" s="42">
        <v>25</v>
      </c>
      <c r="P38" s="41">
        <v>0.366282</v>
      </c>
      <c r="Q38" s="41">
        <v>0.12209399999999999</v>
      </c>
      <c r="R38" s="41">
        <v>4.0698000000000005E-2</v>
      </c>
      <c r="S38" s="41">
        <v>0.20349</v>
      </c>
    </row>
    <row r="39" spans="1:19" x14ac:dyDescent="0.25">
      <c r="A39" s="39" t="s">
        <v>54</v>
      </c>
      <c r="B39" s="39" t="s">
        <v>55</v>
      </c>
      <c r="C39" s="39" t="s">
        <v>49</v>
      </c>
      <c r="D39" s="39" t="s">
        <v>50</v>
      </c>
      <c r="E39" s="39" t="s">
        <v>56</v>
      </c>
      <c r="F39" s="39" t="s">
        <v>51</v>
      </c>
      <c r="G39" s="39" t="s">
        <v>61</v>
      </c>
      <c r="H39" s="39" t="s">
        <v>62</v>
      </c>
      <c r="I39" s="39" t="s">
        <v>60</v>
      </c>
      <c r="J39" s="39">
        <v>899000099219</v>
      </c>
      <c r="K39" s="39" t="s">
        <v>61</v>
      </c>
      <c r="L39" s="39" t="s">
        <v>53</v>
      </c>
      <c r="M39" s="40">
        <v>46066</v>
      </c>
      <c r="N39" s="39" t="s">
        <v>64</v>
      </c>
      <c r="O39" s="42">
        <v>4</v>
      </c>
      <c r="P39" s="41">
        <v>0.15422400000000003</v>
      </c>
      <c r="Q39" s="41">
        <v>5.1408000000000002E-2</v>
      </c>
      <c r="R39" s="41">
        <v>1.7136000000000002E-2</v>
      </c>
      <c r="S39" s="41">
        <v>8.5680000000000006E-2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6240-F219-461C-A3A3-0E5CFD9BF857}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42578125" bestFit="1" customWidth="1"/>
    <col min="2" max="2" width="19.140625" bestFit="1" customWidth="1"/>
    <col min="3" max="3" width="15.85546875" bestFit="1" customWidth="1"/>
    <col min="4" max="4" width="14.140625" bestFit="1" customWidth="1"/>
    <col min="5" max="5" width="10.140625" bestFit="1" customWidth="1"/>
  </cols>
  <sheetData>
    <row r="1" spans="1:6" x14ac:dyDescent="0.25">
      <c r="A1" s="72" t="s">
        <v>65</v>
      </c>
      <c r="B1" s="72" t="s">
        <v>15</v>
      </c>
      <c r="C1" s="72" t="s">
        <v>16</v>
      </c>
      <c r="D1" s="72" t="s">
        <v>17</v>
      </c>
      <c r="E1" s="72" t="s">
        <v>48</v>
      </c>
    </row>
    <row r="2" spans="1:6" x14ac:dyDescent="0.25">
      <c r="A2" s="2" t="s">
        <v>55</v>
      </c>
      <c r="B2" s="1">
        <v>45.332216999999986</v>
      </c>
      <c r="C2" s="1">
        <v>15.110738999999999</v>
      </c>
      <c r="D2" s="1">
        <v>5.0369129999999993</v>
      </c>
      <c r="E2" s="1">
        <v>25.184564999999999</v>
      </c>
    </row>
    <row r="3" spans="1:6" x14ac:dyDescent="0.25">
      <c r="A3" s="3" t="s">
        <v>49</v>
      </c>
      <c r="B3" s="1">
        <v>45.332216999999986</v>
      </c>
      <c r="C3" s="1">
        <v>15.110738999999999</v>
      </c>
      <c r="D3" s="1">
        <v>5.0369129999999993</v>
      </c>
      <c r="E3" s="1">
        <v>25.184564999999999</v>
      </c>
    </row>
    <row r="4" spans="1:6" x14ac:dyDescent="0.25">
      <c r="A4" s="4" t="s">
        <v>60</v>
      </c>
      <c r="B4" s="1">
        <v>45.332216999999986</v>
      </c>
      <c r="C4" s="1">
        <v>15.110738999999999</v>
      </c>
      <c r="D4" s="1">
        <v>5.0369129999999993</v>
      </c>
      <c r="E4" s="1">
        <v>25.184564999999999</v>
      </c>
    </row>
    <row r="5" spans="1:6" x14ac:dyDescent="0.25">
      <c r="A5" s="5" t="s">
        <v>58</v>
      </c>
      <c r="B5" s="1">
        <v>12.395754</v>
      </c>
      <c r="C5" s="1">
        <v>4.1319179999999998</v>
      </c>
      <c r="D5" s="1">
        <v>1.3773060000000001</v>
      </c>
      <c r="E5" s="1">
        <v>6.8865300000000005</v>
      </c>
    </row>
    <row r="6" spans="1:6" x14ac:dyDescent="0.25">
      <c r="A6" s="5" t="s">
        <v>61</v>
      </c>
      <c r="B6" s="1">
        <v>32.936462999999989</v>
      </c>
      <c r="C6" s="1">
        <v>10.978820999999998</v>
      </c>
      <c r="D6" s="1">
        <v>3.6596069999999994</v>
      </c>
      <c r="E6" s="1">
        <v>18.298034999999999</v>
      </c>
    </row>
    <row r="7" spans="1:6" x14ac:dyDescent="0.25">
      <c r="A7" s="72" t="s">
        <v>14</v>
      </c>
      <c r="B7" s="73">
        <v>45.332216999999986</v>
      </c>
      <c r="C7" s="73">
        <v>15.110738999999999</v>
      </c>
      <c r="D7" s="73">
        <v>5.0369129999999993</v>
      </c>
      <c r="E7" s="73">
        <v>25.184564999999999</v>
      </c>
      <c r="F7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Revenue_Summary</vt:lpstr>
      <vt:lpstr>Partner_Revenue_Details</vt:lpstr>
      <vt:lpstr>Revenue_Pivot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2026-02-04T02:08:10Z</dcterms:created>
  <dcterms:modified xsi:type="dcterms:W3CDTF">2026-06-11T03:10:57Z</dcterms:modified>
</cp:coreProperties>
</file>